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00 E 41st 27 story" sheetId="1" r:id="rId5"/>
    <sheet state="visible" name="400 E 41st 19 story" sheetId="2" r:id="rId6"/>
  </sheets>
  <definedNames/>
  <calcPr/>
</workbook>
</file>

<file path=xl/sharedStrings.xml><?xml version="1.0" encoding="utf-8"?>
<sst xmlns="http://schemas.openxmlformats.org/spreadsheetml/2006/main" count="86" uniqueCount="43">
  <si>
    <t>Comed Multiple family</t>
  </si>
  <si>
    <t>Scope of work</t>
  </si>
  <si>
    <t>Location name</t>
  </si>
  <si>
    <t>Paul G Stewart Apts</t>
  </si>
  <si>
    <t>Contact name</t>
  </si>
  <si>
    <t>Phone</t>
  </si>
  <si>
    <t>Email</t>
  </si>
  <si>
    <t>Street Address</t>
  </si>
  <si>
    <t xml:space="preserve">400 E 41St </t>
  </si>
  <si>
    <t>City</t>
  </si>
  <si>
    <t>State</t>
  </si>
  <si>
    <t>Zip code</t>
  </si>
  <si>
    <t>Floors</t>
  </si>
  <si>
    <t xml:space="preserve">measure Category </t>
  </si>
  <si>
    <t xml:space="preserve">Measure </t>
  </si>
  <si>
    <t>Units and Hallways</t>
  </si>
  <si>
    <t>Number of measures per floor</t>
  </si>
  <si>
    <t>Number of Floors</t>
  </si>
  <si>
    <t>New lighting</t>
  </si>
  <si>
    <t xml:space="preserve"> Exsisting Lighting</t>
  </si>
  <si>
    <t>Contractor: lights per unit</t>
  </si>
  <si>
    <t>Contractor: Total price</t>
  </si>
  <si>
    <t xml:space="preserve">Electrical </t>
  </si>
  <si>
    <t xml:space="preserve">Lightning </t>
  </si>
  <si>
    <t xml:space="preserve">Stairways </t>
  </si>
  <si>
    <t>Led Circle Fixtures</t>
  </si>
  <si>
    <t>2L- 2pin- 60w -CFL</t>
  </si>
  <si>
    <t>Hallways</t>
  </si>
  <si>
    <t>Exit lighting</t>
  </si>
  <si>
    <t>Led Retrofits</t>
  </si>
  <si>
    <t>2L-SB-13w-INC</t>
  </si>
  <si>
    <t xml:space="preserve">Lighting </t>
  </si>
  <si>
    <t xml:space="preserve">Elevator </t>
  </si>
  <si>
    <t>T8-15w-2L-4ft</t>
  </si>
  <si>
    <t>T12-32w-2L-4ft</t>
  </si>
  <si>
    <t xml:space="preserve">Chicago </t>
  </si>
  <si>
    <t xml:space="preserve">MF Program Requirements </t>
  </si>
  <si>
    <t xml:space="preserve"> Exsisting lighting</t>
  </si>
  <si>
    <t>Electrical</t>
  </si>
  <si>
    <t>Lighting</t>
  </si>
  <si>
    <t>doctor office</t>
  </si>
  <si>
    <t>TU12-32w-2L</t>
  </si>
  <si>
    <t>2x2 Led Troffers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</si>
</sst>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4A86E8"/>
      <name val="Impact"/>
    </font>
    <font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4">
    <border/>
    <border>
      <left style="thick">
        <color rgb="FF0000FF"/>
      </left>
      <top style="thick">
        <color rgb="FF0000FF"/>
      </top>
      <bottom style="thick">
        <color rgb="FF0000FF"/>
      </bottom>
    </border>
    <border>
      <right style="thick">
        <color rgb="FF0000FF"/>
      </right>
      <top style="thick">
        <color rgb="FF0000FF"/>
      </top>
      <bottom style="thick">
        <color rgb="FF0000FF"/>
      </bottom>
    </border>
    <border>
      <left style="medium">
        <color rgb="FF0B5394"/>
      </left>
      <right style="medium">
        <color rgb="FF0B5394"/>
      </right>
      <top style="medium">
        <color rgb="FF0B5394"/>
      </top>
      <bottom style="medium">
        <color rgb="FF0B5394"/>
      </bottom>
    </border>
    <border>
      <top style="thick">
        <color rgb="FF0B5394"/>
      </top>
    </border>
    <border>
      <right style="medium">
        <color rgb="FF0B5394"/>
      </right>
      <top style="thick">
        <color rgb="FF0B5394"/>
      </top>
    </border>
    <border>
      <right style="medium">
        <color rgb="FF0B5394"/>
      </right>
    </border>
    <border>
      <bottom style="medium">
        <color rgb="FF0B5394"/>
      </bottom>
    </border>
    <border>
      <right style="medium">
        <color rgb="FF0B5394"/>
      </right>
      <bottom style="medium">
        <color rgb="FF0B5394"/>
      </bottom>
    </border>
    <border>
      <left style="medium">
        <color rgb="FF0B5394"/>
      </left>
    </border>
    <border>
      <left style="medium">
        <color rgb="FF0B5394"/>
      </left>
      <top style="medium">
        <color rgb="FF0B5394"/>
      </top>
    </border>
    <border>
      <top style="medium">
        <color rgb="FF0B5394"/>
      </top>
    </border>
    <border>
      <right style="medium">
        <color rgb="FF0B5394"/>
      </right>
      <top style="medium">
        <color rgb="FF0B5394"/>
      </top>
    </border>
    <border>
      <left style="medium">
        <color rgb="FF0B5394"/>
      </left>
      <bottom style="medium">
        <color rgb="FF0B5394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0" fillId="2" fontId="2" numFmtId="0" xfId="0" applyAlignment="1" applyFill="1" applyFont="1">
      <alignment horizontal="center" readingOrder="0"/>
    </xf>
    <xf borderId="0" fillId="2" fontId="2" numFmtId="0" xfId="0" applyFont="1"/>
    <xf borderId="3" fillId="2" fontId="2" numFmtId="0" xfId="0" applyAlignment="1" applyBorder="1" applyFont="1">
      <alignment readingOrder="0"/>
    </xf>
    <xf borderId="4" fillId="0" fontId="2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horizontal="center" readingOrder="0" shrinkToFit="0" wrapText="0"/>
    </xf>
    <xf borderId="4" fillId="0" fontId="3" numFmtId="0" xfId="0" applyBorder="1" applyFont="1"/>
    <xf borderId="5" fillId="0" fontId="2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vertical="bottom" wrapText="0"/>
    </xf>
    <xf borderId="6" fillId="0" fontId="2" numFmtId="0" xfId="0" applyAlignment="1" applyBorder="1" applyFont="1">
      <alignment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3" fontId="2" numFmtId="0" xfId="0" applyAlignment="1" applyFill="1" applyFont="1">
      <alignment readingOrder="0" shrinkToFit="0" wrapText="0"/>
    </xf>
    <xf borderId="7" fillId="0" fontId="2" numFmtId="0" xfId="0" applyAlignment="1" applyBorder="1" applyFont="1">
      <alignment readingOrder="0" shrinkToFit="0" wrapText="0"/>
    </xf>
    <xf borderId="7" fillId="0" fontId="2" numFmtId="0" xfId="0" applyAlignment="1" applyBorder="1" applyFont="1">
      <alignment horizontal="center" readingOrder="0" shrinkToFit="0" wrapText="0"/>
    </xf>
    <xf borderId="7" fillId="0" fontId="3" numFmtId="0" xfId="0" applyBorder="1" applyFont="1"/>
    <xf borderId="8" fillId="0" fontId="2" numFmtId="0" xfId="0" applyAlignment="1" applyBorder="1" applyFont="1">
      <alignment readingOrder="0" shrinkToFit="0" wrapText="0"/>
    </xf>
    <xf borderId="9" fillId="0" fontId="2" numFmtId="0" xfId="0" applyBorder="1" applyFont="1"/>
    <xf borderId="10" fillId="4" fontId="2" numFmtId="0" xfId="0" applyAlignment="1" applyBorder="1" applyFill="1" applyFont="1">
      <alignment horizontal="left" readingOrder="0" shrinkToFit="0" vertical="center" wrapText="0"/>
    </xf>
    <xf borderId="11" fillId="4" fontId="2" numFmtId="0" xfId="0" applyAlignment="1" applyBorder="1" applyFont="1">
      <alignment horizontal="left" readingOrder="0" shrinkToFit="0" vertical="center" wrapText="0"/>
    </xf>
    <xf borderId="11" fillId="4" fontId="2" numFmtId="0" xfId="0" applyAlignment="1" applyBorder="1" applyFont="1">
      <alignment horizontal="left" readingOrder="0" shrinkToFit="0" vertical="center" wrapText="1"/>
    </xf>
    <xf borderId="11" fillId="5" fontId="2" numFmtId="0" xfId="0" applyAlignment="1" applyBorder="1" applyFill="1" applyFont="1">
      <alignment horizontal="left" readingOrder="0" shrinkToFit="0" vertical="center" wrapText="0"/>
    </xf>
    <xf borderId="12" fillId="5" fontId="2" numFmtId="0" xfId="0" applyAlignment="1" applyBorder="1" applyFont="1">
      <alignment horizontal="left" readingOrder="0" shrinkToFit="0" vertical="center" wrapText="0"/>
    </xf>
    <xf borderId="9" fillId="0" fontId="3" numFmtId="0" xfId="0" applyBorder="1" applyFont="1"/>
    <xf borderId="6" fillId="0" fontId="3" numFmtId="0" xfId="0" applyBorder="1" applyFont="1"/>
    <xf borderId="9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6" fillId="0" fontId="2" numFmtId="0" xfId="0" applyBorder="1" applyFont="1"/>
    <xf borderId="13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4" fontId="2" numFmtId="0" xfId="0" applyFont="1"/>
    <xf borderId="0" fillId="6" fontId="2" numFmtId="0" xfId="0" applyAlignment="1" applyFill="1" applyFont="1">
      <alignment vertical="bottom"/>
    </xf>
    <xf borderId="0" fillId="6" fontId="2" numFmtId="0" xfId="0" applyFont="1"/>
    <xf borderId="11" fillId="5" fontId="2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12</xdr:row>
      <xdr:rowOff>28575</xdr:rowOff>
    </xdr:from>
    <xdr:ext cx="752475" cy="8001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17</xdr:row>
      <xdr:rowOff>19050</xdr:rowOff>
    </xdr:from>
    <xdr:ext cx="752475" cy="96202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</xdr:colOff>
      <xdr:row>22</xdr:row>
      <xdr:rowOff>142875</xdr:rowOff>
    </xdr:from>
    <xdr:ext cx="828675" cy="81915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19.25"/>
    <col customWidth="1" min="4" max="4" width="22.88"/>
    <col customWidth="1" min="5" max="6" width="24.75"/>
    <col customWidth="1" min="7" max="8" width="20.25"/>
    <col customWidth="1" min="9" max="9" width="19.5"/>
  </cols>
  <sheetData>
    <row r="1">
      <c r="A1" s="1" t="s">
        <v>0</v>
      </c>
      <c r="B1" s="2"/>
    </row>
    <row r="2">
      <c r="A2" s="3" t="s">
        <v>1</v>
      </c>
    </row>
    <row r="3">
      <c r="A3" s="4"/>
    </row>
    <row r="4">
      <c r="A4" s="5" t="s">
        <v>2</v>
      </c>
      <c r="B4" s="6"/>
      <c r="C4" s="7" t="s">
        <v>3</v>
      </c>
      <c r="D4" s="8"/>
      <c r="E4" s="6"/>
      <c r="F4" s="9"/>
    </row>
    <row r="5">
      <c r="A5" s="5" t="s">
        <v>4</v>
      </c>
      <c r="B5" s="10"/>
      <c r="C5" s="11"/>
      <c r="E5" s="10"/>
      <c r="F5" s="12"/>
    </row>
    <row r="6">
      <c r="A6" s="5" t="s">
        <v>5</v>
      </c>
      <c r="B6" s="10"/>
      <c r="C6" s="10"/>
      <c r="E6" s="10"/>
      <c r="F6" s="12"/>
    </row>
    <row r="7">
      <c r="A7" s="5" t="s">
        <v>6</v>
      </c>
      <c r="B7" s="10"/>
      <c r="C7" s="10"/>
      <c r="E7" s="10"/>
      <c r="F7" s="12"/>
    </row>
    <row r="8">
      <c r="A8" s="5" t="s">
        <v>7</v>
      </c>
      <c r="B8" s="10"/>
      <c r="C8" s="13" t="s">
        <v>8</v>
      </c>
      <c r="E8" s="10"/>
      <c r="F8" s="12"/>
    </row>
    <row r="9">
      <c r="A9" s="5" t="s">
        <v>9</v>
      </c>
      <c r="B9" s="10"/>
      <c r="C9" s="10"/>
      <c r="E9" s="10"/>
      <c r="F9" s="12"/>
    </row>
    <row r="10">
      <c r="A10" s="5" t="s">
        <v>10</v>
      </c>
      <c r="B10" s="10"/>
      <c r="C10" s="10"/>
      <c r="D10" s="14" t="s">
        <v>11</v>
      </c>
      <c r="E10" s="10"/>
      <c r="F10" s="12"/>
    </row>
    <row r="11">
      <c r="A11" s="5" t="s">
        <v>12</v>
      </c>
      <c r="B11" s="15"/>
      <c r="C11" s="16">
        <v>27.0</v>
      </c>
      <c r="D11" s="17"/>
      <c r="E11" s="15"/>
      <c r="F11" s="18"/>
    </row>
    <row r="12">
      <c r="A12" s="19"/>
    </row>
    <row r="13">
      <c r="A13" s="20" t="s">
        <v>13</v>
      </c>
      <c r="B13" s="21" t="s">
        <v>14</v>
      </c>
      <c r="C13" s="21" t="s">
        <v>15</v>
      </c>
      <c r="D13" s="21" t="s">
        <v>16</v>
      </c>
      <c r="E13" s="22" t="s">
        <v>17</v>
      </c>
      <c r="F13" s="21" t="s">
        <v>18</v>
      </c>
      <c r="G13" s="21" t="s">
        <v>19</v>
      </c>
      <c r="H13" s="23" t="s">
        <v>20</v>
      </c>
      <c r="I13" s="24" t="s">
        <v>21</v>
      </c>
    </row>
    <row r="14">
      <c r="A14" s="25"/>
      <c r="I14" s="26"/>
    </row>
    <row r="15">
      <c r="A15" s="27" t="s">
        <v>22</v>
      </c>
      <c r="B15" s="28" t="s">
        <v>23</v>
      </c>
      <c r="C15" s="28" t="s">
        <v>24</v>
      </c>
      <c r="D15" s="28">
        <v>2.0</v>
      </c>
      <c r="E15" s="28">
        <v>27.0</v>
      </c>
      <c r="F15" s="28" t="s">
        <v>25</v>
      </c>
      <c r="G15" s="28" t="s">
        <v>26</v>
      </c>
      <c r="H15" s="29">
        <f t="shared" ref="H15:H27" si="1">SUM(D15*E15)</f>
        <v>54</v>
      </c>
      <c r="I15" s="30"/>
    </row>
    <row r="16">
      <c r="A16" s="27" t="s">
        <v>22</v>
      </c>
      <c r="B16" s="28" t="s">
        <v>23</v>
      </c>
      <c r="C16" s="28" t="s">
        <v>27</v>
      </c>
      <c r="D16" s="28">
        <v>4.0</v>
      </c>
      <c r="E16" s="28">
        <v>27.0</v>
      </c>
      <c r="F16" s="28" t="s">
        <v>25</v>
      </c>
      <c r="G16" s="28" t="s">
        <v>26</v>
      </c>
      <c r="H16" s="29">
        <f t="shared" si="1"/>
        <v>108</v>
      </c>
      <c r="I16" s="30"/>
    </row>
    <row r="17">
      <c r="A17" s="27" t="s">
        <v>22</v>
      </c>
      <c r="B17" s="28" t="s">
        <v>28</v>
      </c>
      <c r="C17" s="28" t="s">
        <v>27</v>
      </c>
      <c r="D17" s="28">
        <v>4.0</v>
      </c>
      <c r="E17" s="28">
        <v>27.0</v>
      </c>
      <c r="F17" s="28" t="s">
        <v>29</v>
      </c>
      <c r="G17" s="28" t="s">
        <v>30</v>
      </c>
      <c r="H17" s="29">
        <f t="shared" si="1"/>
        <v>108</v>
      </c>
      <c r="I17" s="30"/>
    </row>
    <row r="18">
      <c r="A18" s="27" t="s">
        <v>22</v>
      </c>
      <c r="B18" s="28" t="s">
        <v>31</v>
      </c>
      <c r="C18" s="28" t="s">
        <v>32</v>
      </c>
      <c r="D18" s="28">
        <v>4.0</v>
      </c>
      <c r="E18" s="28">
        <v>1.0</v>
      </c>
      <c r="F18" s="28" t="s">
        <v>33</v>
      </c>
      <c r="G18" s="28" t="s">
        <v>34</v>
      </c>
      <c r="H18" s="29">
        <f t="shared" si="1"/>
        <v>4</v>
      </c>
      <c r="I18" s="30"/>
    </row>
    <row r="19">
      <c r="A19" s="19"/>
      <c r="H19" s="29">
        <f t="shared" si="1"/>
        <v>0</v>
      </c>
      <c r="I19" s="30"/>
    </row>
    <row r="20">
      <c r="A20" s="19"/>
      <c r="H20" s="29">
        <f t="shared" si="1"/>
        <v>0</v>
      </c>
      <c r="I20" s="30"/>
    </row>
    <row r="21">
      <c r="A21" s="19"/>
      <c r="H21" s="29">
        <f t="shared" si="1"/>
        <v>0</v>
      </c>
      <c r="I21" s="30"/>
    </row>
    <row r="22">
      <c r="A22" s="19"/>
      <c r="H22" s="29">
        <f t="shared" si="1"/>
        <v>0</v>
      </c>
      <c r="I22" s="30"/>
    </row>
    <row r="23">
      <c r="A23" s="19"/>
      <c r="H23" s="29">
        <f t="shared" si="1"/>
        <v>0</v>
      </c>
      <c r="I23" s="30"/>
    </row>
    <row r="24">
      <c r="A24" s="19"/>
      <c r="H24" s="29">
        <f t="shared" si="1"/>
        <v>0</v>
      </c>
      <c r="I24" s="30"/>
    </row>
    <row r="25">
      <c r="A25" s="19"/>
      <c r="H25" s="29">
        <f t="shared" si="1"/>
        <v>0</v>
      </c>
      <c r="I25" s="30"/>
    </row>
    <row r="26">
      <c r="A26" s="19"/>
      <c r="H26" s="29">
        <f t="shared" si="1"/>
        <v>0</v>
      </c>
      <c r="I26" s="30"/>
    </row>
    <row r="27">
      <c r="A27" s="31"/>
      <c r="B27" s="32"/>
      <c r="C27" s="32"/>
      <c r="D27" s="32"/>
      <c r="E27" s="32"/>
      <c r="F27" s="32"/>
      <c r="G27" s="32"/>
      <c r="H27" s="32">
        <f t="shared" si="1"/>
        <v>0</v>
      </c>
      <c r="I27" s="33"/>
    </row>
    <row r="28">
      <c r="A28" s="34"/>
      <c r="B28" s="34"/>
      <c r="C28" s="34"/>
      <c r="D28" s="34"/>
      <c r="E28" s="34"/>
      <c r="F28" s="34"/>
      <c r="G28" s="34"/>
      <c r="H28" s="35">
        <f>SUM(H15:H27)</f>
        <v>274</v>
      </c>
      <c r="I28" s="36"/>
    </row>
  </sheetData>
  <mergeCells count="17">
    <mergeCell ref="A2:B2"/>
    <mergeCell ref="C4:D4"/>
    <mergeCell ref="C5:D5"/>
    <mergeCell ref="C6:D6"/>
    <mergeCell ref="C7:D7"/>
    <mergeCell ref="C8:D8"/>
    <mergeCell ref="C9:D9"/>
    <mergeCell ref="G13:G14"/>
    <mergeCell ref="H13:H14"/>
    <mergeCell ref="I13:I14"/>
    <mergeCell ref="C11:D11"/>
    <mergeCell ref="A13:A14"/>
    <mergeCell ref="B13:B14"/>
    <mergeCell ref="C13:C14"/>
    <mergeCell ref="D13:D14"/>
    <mergeCell ref="E13:E14"/>
    <mergeCell ref="F13:F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19.25"/>
    <col customWidth="1" min="4" max="4" width="22.88"/>
    <col customWidth="1" min="5" max="6" width="24.75"/>
    <col customWidth="1" min="7" max="9" width="20.25"/>
    <col customWidth="1" min="10" max="10" width="19.5"/>
  </cols>
  <sheetData>
    <row r="1">
      <c r="A1" s="1" t="s">
        <v>0</v>
      </c>
      <c r="B1" s="2"/>
    </row>
    <row r="2">
      <c r="A2" s="3" t="s">
        <v>1</v>
      </c>
    </row>
    <row r="3">
      <c r="A3" s="4"/>
    </row>
    <row r="4">
      <c r="A4" s="5" t="s">
        <v>2</v>
      </c>
      <c r="B4" s="6"/>
      <c r="C4" s="7" t="s">
        <v>3</v>
      </c>
      <c r="D4" s="8"/>
      <c r="E4" s="6"/>
      <c r="F4" s="9"/>
    </row>
    <row r="5">
      <c r="A5" s="5" t="s">
        <v>4</v>
      </c>
      <c r="B5" s="10"/>
      <c r="C5" s="11"/>
      <c r="E5" s="10"/>
      <c r="F5" s="12"/>
    </row>
    <row r="6">
      <c r="A6" s="5" t="s">
        <v>5</v>
      </c>
      <c r="B6" s="10"/>
      <c r="C6" s="10"/>
      <c r="E6" s="10"/>
      <c r="F6" s="12"/>
    </row>
    <row r="7">
      <c r="A7" s="5" t="s">
        <v>6</v>
      </c>
      <c r="B7" s="10"/>
      <c r="C7" s="10"/>
      <c r="E7" s="10"/>
      <c r="F7" s="12"/>
    </row>
    <row r="8">
      <c r="A8" s="5" t="s">
        <v>7</v>
      </c>
      <c r="B8" s="10"/>
      <c r="C8" s="13" t="s">
        <v>8</v>
      </c>
      <c r="E8" s="10"/>
      <c r="F8" s="12"/>
    </row>
    <row r="9">
      <c r="A9" s="5" t="s">
        <v>9</v>
      </c>
      <c r="B9" s="10"/>
      <c r="C9" s="13" t="s">
        <v>35</v>
      </c>
      <c r="E9" s="10"/>
      <c r="F9" s="12"/>
    </row>
    <row r="10">
      <c r="A10" s="5" t="s">
        <v>10</v>
      </c>
      <c r="B10" s="10"/>
      <c r="C10" s="10"/>
      <c r="D10" s="14" t="s">
        <v>11</v>
      </c>
      <c r="E10" s="10"/>
      <c r="F10" s="12"/>
    </row>
    <row r="11">
      <c r="A11" s="5" t="s">
        <v>12</v>
      </c>
      <c r="B11" s="15"/>
      <c r="C11" s="16">
        <v>19.0</v>
      </c>
      <c r="D11" s="17"/>
      <c r="E11" s="15"/>
      <c r="F11" s="18"/>
    </row>
    <row r="12">
      <c r="A12" s="19"/>
    </row>
    <row r="13">
      <c r="A13" s="20" t="s">
        <v>13</v>
      </c>
      <c r="B13" s="21" t="s">
        <v>14</v>
      </c>
      <c r="C13" s="21" t="s">
        <v>15</v>
      </c>
      <c r="D13" s="21" t="s">
        <v>16</v>
      </c>
      <c r="E13" s="22" t="s">
        <v>17</v>
      </c>
      <c r="F13" s="21" t="s">
        <v>36</v>
      </c>
      <c r="G13" s="21" t="s">
        <v>37</v>
      </c>
      <c r="H13" s="37" t="s">
        <v>18</v>
      </c>
      <c r="I13" s="23" t="s">
        <v>20</v>
      </c>
      <c r="J13" s="24" t="s">
        <v>21</v>
      </c>
    </row>
    <row r="14">
      <c r="A14" s="25"/>
      <c r="J14" s="26"/>
    </row>
    <row r="15">
      <c r="A15" s="27" t="s">
        <v>22</v>
      </c>
      <c r="B15" s="28" t="s">
        <v>23</v>
      </c>
      <c r="C15" s="28" t="s">
        <v>24</v>
      </c>
      <c r="D15" s="28">
        <v>2.0</v>
      </c>
      <c r="E15" s="28">
        <v>19.0</v>
      </c>
      <c r="G15" s="28" t="s">
        <v>26</v>
      </c>
      <c r="H15" s="28" t="s">
        <v>25</v>
      </c>
      <c r="I15" s="29">
        <f t="shared" ref="I15:I27" si="1">SUM(D15*E15)</f>
        <v>38</v>
      </c>
      <c r="J15" s="30"/>
    </row>
    <row r="16">
      <c r="A16" s="27" t="s">
        <v>22</v>
      </c>
      <c r="B16" s="28" t="s">
        <v>23</v>
      </c>
      <c r="C16" s="28" t="s">
        <v>27</v>
      </c>
      <c r="D16" s="28">
        <v>4.0</v>
      </c>
      <c r="E16" s="28">
        <v>19.0</v>
      </c>
      <c r="G16" s="28" t="s">
        <v>26</v>
      </c>
      <c r="H16" s="28" t="s">
        <v>25</v>
      </c>
      <c r="I16" s="29">
        <f t="shared" si="1"/>
        <v>76</v>
      </c>
      <c r="J16" s="30"/>
    </row>
    <row r="17">
      <c r="A17" s="27" t="s">
        <v>22</v>
      </c>
      <c r="B17" s="28" t="s">
        <v>28</v>
      </c>
      <c r="C17" s="28" t="s">
        <v>27</v>
      </c>
      <c r="D17" s="28">
        <v>4.0</v>
      </c>
      <c r="E17" s="28">
        <v>19.0</v>
      </c>
      <c r="G17" s="28" t="s">
        <v>30</v>
      </c>
      <c r="H17" s="28" t="s">
        <v>29</v>
      </c>
      <c r="I17" s="29">
        <f t="shared" si="1"/>
        <v>76</v>
      </c>
      <c r="J17" s="30"/>
    </row>
    <row r="18">
      <c r="A18" s="27" t="s">
        <v>38</v>
      </c>
      <c r="B18" s="28" t="s">
        <v>39</v>
      </c>
      <c r="C18" s="28" t="s">
        <v>40</v>
      </c>
      <c r="D18" s="28">
        <v>26.0</v>
      </c>
      <c r="E18" s="28">
        <v>1.0</v>
      </c>
      <c r="G18" s="28" t="s">
        <v>41</v>
      </c>
      <c r="H18" s="28" t="s">
        <v>42</v>
      </c>
      <c r="I18" s="29">
        <f t="shared" si="1"/>
        <v>26</v>
      </c>
      <c r="J18" s="30"/>
    </row>
    <row r="19">
      <c r="A19" s="19"/>
      <c r="I19" s="29">
        <f t="shared" si="1"/>
        <v>0</v>
      </c>
      <c r="J19" s="30"/>
    </row>
    <row r="20">
      <c r="A20" s="19"/>
      <c r="I20" s="29">
        <f t="shared" si="1"/>
        <v>0</v>
      </c>
      <c r="J20" s="30"/>
    </row>
    <row r="21">
      <c r="A21" s="19"/>
      <c r="I21" s="29">
        <f t="shared" si="1"/>
        <v>0</v>
      </c>
      <c r="J21" s="30"/>
    </row>
    <row r="22">
      <c r="A22" s="19"/>
      <c r="I22" s="29">
        <f t="shared" si="1"/>
        <v>0</v>
      </c>
      <c r="J22" s="30"/>
    </row>
    <row r="23">
      <c r="A23" s="19"/>
      <c r="I23" s="29">
        <f t="shared" si="1"/>
        <v>0</v>
      </c>
      <c r="J23" s="30"/>
    </row>
    <row r="24">
      <c r="A24" s="19"/>
      <c r="I24" s="29">
        <f t="shared" si="1"/>
        <v>0</v>
      </c>
      <c r="J24" s="30"/>
    </row>
    <row r="25">
      <c r="A25" s="19"/>
      <c r="I25" s="29">
        <f t="shared" si="1"/>
        <v>0</v>
      </c>
      <c r="J25" s="30"/>
    </row>
    <row r="26">
      <c r="A26" s="19"/>
      <c r="I26" s="29">
        <f t="shared" si="1"/>
        <v>0</v>
      </c>
      <c r="J26" s="30"/>
    </row>
    <row r="27">
      <c r="A27" s="31"/>
      <c r="B27" s="32"/>
      <c r="C27" s="32"/>
      <c r="D27" s="32"/>
      <c r="E27" s="32"/>
      <c r="F27" s="32"/>
      <c r="G27" s="32"/>
      <c r="H27" s="32"/>
      <c r="I27" s="32">
        <f t="shared" si="1"/>
        <v>0</v>
      </c>
      <c r="J27" s="33"/>
    </row>
    <row r="28">
      <c r="A28" s="34"/>
      <c r="B28" s="34"/>
      <c r="C28" s="34"/>
      <c r="D28" s="34"/>
      <c r="E28" s="34"/>
      <c r="F28" s="34"/>
      <c r="G28" s="34"/>
      <c r="H28" s="35"/>
      <c r="I28" s="35">
        <f>SUM(I15:I27)</f>
        <v>216</v>
      </c>
      <c r="J28" s="36"/>
    </row>
  </sheetData>
  <mergeCells count="18">
    <mergeCell ref="A2:B2"/>
    <mergeCell ref="C4:D4"/>
    <mergeCell ref="C5:D5"/>
    <mergeCell ref="C6:D6"/>
    <mergeCell ref="C7:D7"/>
    <mergeCell ref="C8:D8"/>
    <mergeCell ref="C9:D9"/>
    <mergeCell ref="G13:G14"/>
    <mergeCell ref="H13:H14"/>
    <mergeCell ref="I13:I14"/>
    <mergeCell ref="J13:J14"/>
    <mergeCell ref="C11:D11"/>
    <mergeCell ref="A13:A14"/>
    <mergeCell ref="B13:B14"/>
    <mergeCell ref="C13:C14"/>
    <mergeCell ref="D13:D14"/>
    <mergeCell ref="E13:E14"/>
    <mergeCell ref="F13:F14"/>
  </mergeCells>
  <drawing r:id="rId1"/>
</worksheet>
</file>