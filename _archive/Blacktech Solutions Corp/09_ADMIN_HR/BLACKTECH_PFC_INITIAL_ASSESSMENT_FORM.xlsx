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GURE 8 - Completed Initial As" sheetId="1" r:id="rId4"/>
    <sheet state="visible" name="WHAT WE DID DO" sheetId="2" r:id="rId5"/>
    <sheet state="visible" name="WHAT WE SHOULD DO" sheetId="3" r:id="rId6"/>
    <sheet state="visible" name="WHAT WE COULD DO" sheetId="4" r:id="rId7"/>
    <sheet state="visible" name="ROLL OUT PLAN" sheetId="5" r:id="rId8"/>
  </sheets>
  <definedNames/>
  <calcPr/>
  <extLst>
    <ext uri="GoogleSheetsCustomDataVersion2">
      <go:sheetsCustomData xmlns:go="http://customooxmlschemas.google.com/" r:id="rId9" roundtripDataChecksum="lZ0dbceRgIE3Q8QJEMYqceWjm1Tdf9W8Ddds5kT1ZOQ="/>
    </ext>
  </extLst>
</workbook>
</file>

<file path=xl/sharedStrings.xml><?xml version="1.0" encoding="utf-8"?>
<sst xmlns="http://schemas.openxmlformats.org/spreadsheetml/2006/main" count="248" uniqueCount="99">
  <si>
    <t>PFC TRANSLATION</t>
  </si>
  <si>
    <t>ACTUAL</t>
  </si>
  <si>
    <t>TAP of REAL REVENUE</t>
  </si>
  <si>
    <t>PF$ of REAL REVENUE</t>
  </si>
  <si>
    <t>DELTA</t>
  </si>
  <si>
    <t>FIX</t>
  </si>
  <si>
    <t>PFC ACTUAL PTR (% of TOTAL REVENUE)</t>
  </si>
  <si>
    <t>PFC RECOMMEND PTR (% of TOTAL REVENUE)</t>
  </si>
  <si>
    <t>PROFIT FIRST TAPs</t>
  </si>
  <si>
    <t>TOTAL REVENUE</t>
  </si>
  <si>
    <t>ACCOUNT #1 - INCOME</t>
  </si>
  <si>
    <t>A</t>
  </si>
  <si>
    <t>B</t>
  </si>
  <si>
    <t>C</t>
  </si>
  <si>
    <t>D</t>
  </si>
  <si>
    <t>E</t>
  </si>
  <si>
    <t>F</t>
  </si>
  <si>
    <t>MATERIALS &amp; SUBS</t>
  </si>
  <si>
    <t>REAL REVENUE RANGE</t>
  </si>
  <si>
    <t>$0-$250K</t>
  </si>
  <si>
    <t>$250K-$500K</t>
  </si>
  <si>
    <t>$500K-$1M</t>
  </si>
  <si>
    <t>$1M-$5M</t>
  </si>
  <si>
    <t>$5M-$10M</t>
  </si>
  <si>
    <t>$10M-$50M</t>
  </si>
  <si>
    <t>REAL REVENUE</t>
  </si>
  <si>
    <t>NET PROFIT</t>
  </si>
  <si>
    <t>ACCOUNT #2 - PROFIT</t>
  </si>
  <si>
    <t>NET PROFIT (AFTER TAXES)</t>
  </si>
  <si>
    <t>TAX</t>
  </si>
  <si>
    <t>ACCOUNT #3 - TAX</t>
  </si>
  <si>
    <t>OWNER'S COMP</t>
  </si>
  <si>
    <t>ACCOUNT #4 - OWN COMP</t>
  </si>
  <si>
    <t>OPERATING EXPENDITURES</t>
  </si>
  <si>
    <t>TOTAL OPEX</t>
  </si>
  <si>
    <t>ACCOUNT #5 - TOTAL OPEX</t>
  </si>
  <si>
    <t>Step 1.</t>
  </si>
  <si>
    <t>Input Total Revenue.</t>
  </si>
  <si>
    <t>Step 2.</t>
  </si>
  <si>
    <t>Input the cost of Materials and Subcontractors.</t>
  </si>
  <si>
    <t>Step 3.</t>
  </si>
  <si>
    <t>Input the Net Profit.</t>
  </si>
  <si>
    <t>Step 4.</t>
  </si>
  <si>
    <t>Input the Owner's Compensation.</t>
  </si>
  <si>
    <t>Step 5.</t>
  </si>
  <si>
    <t>Input the amount of Tax you paid.</t>
  </si>
  <si>
    <t>Step 6.</t>
  </si>
  <si>
    <t>Input the TAP based on your REAL REVENUE.</t>
  </si>
  <si>
    <t>The highlighted cells contain formulas.  Do not delete or input information in these cells.</t>
  </si>
  <si>
    <t>SAMPLE P&amp;L</t>
  </si>
  <si>
    <t>INCOME</t>
  </si>
  <si>
    <t>COGS</t>
  </si>
  <si>
    <t>Labor</t>
  </si>
  <si>
    <t>Materials</t>
  </si>
  <si>
    <t>Subcontractors</t>
  </si>
  <si>
    <t>Equipment</t>
  </si>
  <si>
    <t>EXPENSES</t>
  </si>
  <si>
    <t>Owner/Operator Salary</t>
  </si>
  <si>
    <t>Everything Else</t>
  </si>
  <si>
    <t>NET PROFIT (BEFORE TAXES)</t>
  </si>
  <si>
    <t>FROM THE BALANCE SHEET</t>
  </si>
  <si>
    <t>Owner's Draws</t>
  </si>
  <si>
    <t>Tax Liability</t>
  </si>
  <si>
    <t>WHAT WE DID DO</t>
  </si>
  <si>
    <t>SAMPLE P&amp;L - Jan 1 - Dec 31</t>
  </si>
  <si>
    <t>MARKUP FACTOR</t>
  </si>
  <si>
    <t>65-70%</t>
  </si>
  <si>
    <t>$100 Example:</t>
  </si>
  <si>
    <t>Owner's Salary (Balance Sheet)</t>
  </si>
  <si>
    <t>&lt;---EXPENSES</t>
  </si>
  <si>
    <t>15-25%</t>
  </si>
  <si>
    <t>+</t>
  </si>
  <si>
    <t>&lt;---NET PROFIT</t>
  </si>
  <si>
    <t>8-10%</t>
  </si>
  <si>
    <t>TO GET</t>
  </si>
  <si>
    <t>MARGIN</t>
  </si>
  <si>
    <t>WHAT WE SHOULD DO</t>
  </si>
  <si>
    <t>Blacktech P&amp;L - Jan 1 - Dec 31</t>
  </si>
  <si>
    <t>Add for Owner's Worth</t>
  </si>
  <si>
    <t>HOW MUCH DO WE HAVE TO RAISE PRICES?</t>
  </si>
  <si>
    <t>WHAT WE COULD DO</t>
  </si>
  <si>
    <t>BUY MORE COGS</t>
  </si>
  <si>
    <t>Additional Expenses</t>
  </si>
  <si>
    <t>Office/Admin</t>
  </si>
  <si>
    <t>Marketing</t>
  </si>
  <si>
    <t>FROM "DID DO" P&amp;L</t>
  </si>
  <si>
    <t>FROM THE INITIAL ASSESSMENT</t>
  </si>
  <si>
    <t>PFC ACCOUNTS</t>
  </si>
  <si>
    <t>PFC ROLL OUT PLAN</t>
  </si>
  <si>
    <t>DAY ZERO</t>
  </si>
  <si>
    <t>DAY ONE</t>
  </si>
  <si>
    <t>QRT 1</t>
  </si>
  <si>
    <t>QRT 2</t>
  </si>
  <si>
    <t>QRT 3</t>
  </si>
  <si>
    <t>QRT 4</t>
  </si>
  <si>
    <t>PROFIT</t>
  </si>
  <si>
    <t>OWNCOMP</t>
  </si>
  <si>
    <t>OPEX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</si>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</sst>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0.0%"/>
    <numFmt numFmtId="166" formatCode="0.000"/>
  </numFmts>
  <fonts count="28">
    <font>
      <sz val="10.0"/>
      <color rgb="FF000000"/>
      <name val="Arial"/>
      <scheme val="minor"/>
    </font>
    <font>
      <sz val="11.0"/>
      <color theme="1"/>
      <name val="Montserrat"/>
    </font>
    <font>
      <b/>
      <sz val="11.0"/>
      <color theme="1"/>
      <name val="Montserrat"/>
    </font>
    <font/>
    <font>
      <b/>
      <sz val="11.0"/>
      <color rgb="FFFFFFFF"/>
      <name val="Montserrat"/>
    </font>
    <font>
      <b/>
      <sz val="36.0"/>
      <color rgb="FFFFFFFF"/>
      <name val="Montserrat"/>
    </font>
    <font>
      <sz val="12.0"/>
      <color theme="1"/>
      <name val="Montserrat"/>
    </font>
    <font>
      <color theme="1"/>
      <name val="Arial"/>
    </font>
    <font>
      <b/>
      <sz val="11.0"/>
      <color rgb="FF000000"/>
      <name val="Montserrat"/>
    </font>
    <font>
      <b/>
      <sz val="11.0"/>
      <color rgb="FFFF0000"/>
      <name val="Montserrat"/>
    </font>
    <font>
      <b/>
      <sz val="12.0"/>
      <color theme="1"/>
      <name val="Montserrat"/>
    </font>
    <font>
      <sz val="14.0"/>
      <color theme="1"/>
      <name val="Montserrat"/>
    </font>
    <font>
      <color theme="1"/>
      <name val="Montserrat"/>
    </font>
    <font>
      <b/>
      <sz val="18.0"/>
      <color theme="1"/>
      <name val="Montserrat"/>
    </font>
    <font>
      <b/>
      <sz val="18.0"/>
      <color rgb="FFFF0000"/>
      <name val="Montserrat"/>
    </font>
    <font>
      <b/>
      <sz val="14.0"/>
      <color rgb="FFFF0000"/>
      <name val="Montserrat"/>
    </font>
    <font>
      <b/>
      <sz val="14.0"/>
      <color theme="1"/>
      <name val="Montserrat"/>
    </font>
    <font>
      <b/>
      <color rgb="FF0000FF"/>
      <name val="Montserrat"/>
    </font>
    <font>
      <b/>
      <color theme="1"/>
      <name val="Montserrat"/>
    </font>
    <font>
      <b/>
      <sz val="18.0"/>
      <color rgb="FF0000FF"/>
      <name val="Montserrat"/>
    </font>
    <font>
      <color theme="1"/>
      <name val="Arial"/>
      <scheme val="minor"/>
    </font>
    <font>
      <b/>
      <sz val="18.0"/>
      <color rgb="FFFFFFFF"/>
      <name val="Montserrat"/>
    </font>
    <font>
      <b/>
      <sz val="24.0"/>
      <color rgb="FFFFFFFF"/>
      <name val="Montserrat"/>
    </font>
    <font>
      <b/>
      <sz val="14.0"/>
      <color rgb="FFC67821"/>
      <name val="Montserrat"/>
    </font>
    <font>
      <b/>
      <sz val="11.0"/>
      <color rgb="FF0B476E"/>
      <name val="Montserrat"/>
    </font>
    <font>
      <b/>
      <sz val="14.0"/>
      <color rgb="FFFFFFFF"/>
      <name val="Montserrat"/>
    </font>
    <font>
      <b/>
      <sz val="11.0"/>
      <color rgb="FFC67821"/>
      <name val="Montserrat"/>
    </font>
    <font>
      <b/>
      <sz val="14.0"/>
      <color rgb="FF0B476E"/>
      <name val="Montserrat"/>
    </font>
  </fonts>
  <fills count="1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00FFFF"/>
        <bgColor rgb="FF00FFFF"/>
      </patternFill>
    </fill>
    <fill>
      <patternFill patternType="solid">
        <fgColor rgb="FFC67821"/>
        <bgColor rgb="FFC67821"/>
      </patternFill>
    </fill>
    <fill>
      <patternFill patternType="solid">
        <fgColor rgb="FF0B476E"/>
        <bgColor rgb="FF0B476E"/>
      </patternFill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</fills>
  <borders count="28">
    <border/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thick">
        <color rgb="FF000000"/>
      </right>
      <top style="hair">
        <color rgb="FF000000"/>
      </top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hair">
        <color rgb="FF000000"/>
      </right>
      <top style="hair">
        <color rgb="FF000000"/>
      </top>
      <bottom style="thick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ck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1" fillId="3" fontId="2" numFmtId="0" xfId="0" applyAlignment="1" applyBorder="1" applyFill="1" applyFont="1">
      <alignment horizontal="center"/>
    </xf>
    <xf borderId="3" fillId="0" fontId="3" numFmtId="0" xfId="0" applyBorder="1" applyFont="1"/>
    <xf borderId="0" fillId="0" fontId="1" numFmtId="0" xfId="0" applyFont="1"/>
    <xf borderId="0" fillId="2" fontId="1" numFmtId="0" xfId="0" applyFont="1"/>
    <xf borderId="4" fillId="2" fontId="4" numFmtId="0" xfId="0" applyBorder="1" applyFont="1"/>
    <xf borderId="4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wrapText="1"/>
    </xf>
    <xf borderId="0" fillId="4" fontId="5" numFmtId="0" xfId="0" applyAlignment="1" applyFill="1" applyFont="1">
      <alignment horizontal="center" vertical="center"/>
    </xf>
    <xf borderId="4" fillId="0" fontId="2" numFmtId="0" xfId="0" applyBorder="1" applyFont="1"/>
    <xf borderId="5" fillId="0" fontId="6" numFmtId="164" xfId="0" applyAlignment="1" applyBorder="1" applyFont="1" applyNumberFormat="1">
      <alignment horizontal="right" readingOrder="0" vertical="top"/>
    </xf>
    <xf borderId="4" fillId="5" fontId="1" numFmtId="0" xfId="0" applyAlignment="1" applyBorder="1" applyFill="1" applyFont="1">
      <alignment horizontal="right"/>
    </xf>
    <xf borderId="4" fillId="0" fontId="2" numFmtId="9" xfId="0" applyAlignment="1" applyBorder="1" applyFont="1" applyNumberFormat="1">
      <alignment horizontal="right"/>
    </xf>
    <xf borderId="0" fillId="0" fontId="2" numFmtId="0" xfId="0" applyFont="1"/>
    <xf borderId="0" fillId="2" fontId="2" numFmtId="0" xfId="0" applyFont="1"/>
    <xf borderId="4" fillId="2" fontId="7" numFmtId="0" xfId="0" applyAlignment="1" applyBorder="1" applyFont="1">
      <alignment vertical="bottom"/>
    </xf>
    <xf borderId="3" fillId="2" fontId="4" numFmtId="0" xfId="0" applyAlignment="1" applyBorder="1" applyFont="1">
      <alignment horizontal="center"/>
    </xf>
    <xf borderId="3" fillId="2" fontId="4" numFmtId="0" xfId="0" applyAlignment="1" applyBorder="1" applyFont="1">
      <alignment horizontal="center" shrinkToFit="0" wrapText="1"/>
    </xf>
    <xf borderId="4" fillId="0" fontId="6" numFmtId="164" xfId="0" applyAlignment="1" applyBorder="1" applyFont="1" applyNumberFormat="1">
      <alignment horizontal="right" readingOrder="0" vertical="top"/>
    </xf>
    <xf borderId="4" fillId="6" fontId="6" numFmtId="10" xfId="0" applyAlignment="1" applyBorder="1" applyFill="1" applyFont="1" applyNumberFormat="1">
      <alignment horizontal="right" vertical="top"/>
    </xf>
    <xf borderId="4" fillId="6" fontId="1" numFmtId="10" xfId="0" applyAlignment="1" applyBorder="1" applyFont="1" applyNumberFormat="1">
      <alignment horizontal="right"/>
    </xf>
    <xf borderId="6" fillId="0" fontId="8" numFmtId="0" xfId="0" applyAlignment="1" applyBorder="1" applyFont="1">
      <alignment vertical="bottom"/>
    </xf>
    <xf borderId="5" fillId="0" fontId="1" numFmtId="0" xfId="0" applyAlignment="1" applyBorder="1" applyFont="1">
      <alignment horizontal="center"/>
    </xf>
    <xf borderId="4" fillId="0" fontId="9" numFmtId="0" xfId="0" applyBorder="1" applyFont="1"/>
    <xf borderId="4" fillId="6" fontId="6" numFmtId="164" xfId="0" applyAlignment="1" applyBorder="1" applyFont="1" applyNumberFormat="1">
      <alignment horizontal="right" readingOrder="0" vertical="top"/>
    </xf>
    <xf borderId="4" fillId="6" fontId="2" numFmtId="9" xfId="0" applyAlignment="1" applyBorder="1" applyFont="1" applyNumberFormat="1">
      <alignment horizontal="right"/>
    </xf>
    <xf borderId="6" fillId="0" fontId="9" numFmtId="0" xfId="0" applyAlignment="1" applyBorder="1" applyFont="1">
      <alignment vertical="bottom"/>
    </xf>
    <xf borderId="5" fillId="0" fontId="1" numFmtId="9" xfId="0" applyAlignment="1" applyBorder="1" applyFont="1" applyNumberFormat="1">
      <alignment horizontal="center"/>
    </xf>
    <xf borderId="5" fillId="0" fontId="6" numFmtId="164" xfId="0" applyAlignment="1" applyBorder="1" applyFont="1" applyNumberFormat="1">
      <alignment vertical="top"/>
    </xf>
    <xf borderId="4" fillId="0" fontId="6" numFmtId="9" xfId="0" applyAlignment="1" applyBorder="1" applyFont="1" applyNumberFormat="1">
      <alignment horizontal="right" readingOrder="0" vertical="top"/>
    </xf>
    <xf borderId="4" fillId="6" fontId="6" numFmtId="164" xfId="0" applyAlignment="1" applyBorder="1" applyFont="1" applyNumberFormat="1">
      <alignment horizontal="right" vertical="top"/>
    </xf>
    <xf borderId="4" fillId="6" fontId="6" numFmtId="0" xfId="0" applyAlignment="1" applyBorder="1" applyFont="1">
      <alignment horizontal="center" vertical="top"/>
    </xf>
    <xf borderId="6" fillId="0" fontId="2" numFmtId="0" xfId="0" applyAlignment="1" applyBorder="1" applyFont="1">
      <alignment vertical="bottom"/>
    </xf>
    <xf borderId="6" fillId="0" fontId="6" numFmtId="9" xfId="0" applyAlignment="1" applyBorder="1" applyFont="1" applyNumberFormat="1">
      <alignment horizontal="right" readingOrder="0" vertical="top"/>
    </xf>
    <xf borderId="5" fillId="0" fontId="6" numFmtId="164" xfId="0" applyAlignment="1" applyBorder="1" applyFont="1" applyNumberFormat="1">
      <alignment readingOrder="0" vertical="top"/>
    </xf>
    <xf borderId="5" fillId="6" fontId="6" numFmtId="164" xfId="0" applyAlignment="1" applyBorder="1" applyFont="1" applyNumberFormat="1">
      <alignment vertical="top"/>
    </xf>
    <xf borderId="4" fillId="5" fontId="6" numFmtId="0" xfId="0" applyAlignment="1" applyBorder="1" applyFont="1">
      <alignment horizontal="right"/>
    </xf>
    <xf borderId="4" fillId="6" fontId="10" numFmtId="10" xfId="0" applyAlignment="1" applyBorder="1" applyFont="1" applyNumberFormat="1">
      <alignment horizontal="right" vertical="top"/>
    </xf>
    <xf borderId="0" fillId="0" fontId="1" numFmtId="0" xfId="0" applyAlignment="1" applyFont="1">
      <alignment horizontal="right"/>
    </xf>
    <xf borderId="0" fillId="0" fontId="1" numFmtId="10" xfId="0" applyAlignment="1" applyFont="1" applyNumberFormat="1">
      <alignment horizontal="right"/>
    </xf>
    <xf borderId="0" fillId="0" fontId="2" numFmtId="0" xfId="0" applyAlignment="1" applyFont="1">
      <alignment horizontal="right"/>
    </xf>
    <xf borderId="0" fillId="6" fontId="11" numFmtId="0" xfId="0" applyAlignment="1" applyFont="1">
      <alignment horizontal="center" shrinkToFit="0" wrapText="1"/>
    </xf>
    <xf borderId="0" fillId="4" fontId="4" numFmtId="0" xfId="0" applyFont="1"/>
    <xf borderId="0" fillId="7" fontId="1" numFmtId="0" xfId="0" applyFill="1" applyFont="1"/>
    <xf borderId="0" fillId="7" fontId="1" numFmtId="0" xfId="0" applyAlignment="1" applyFont="1">
      <alignment horizontal="right"/>
    </xf>
    <xf borderId="7" fillId="7" fontId="2" numFmtId="0" xfId="0" applyBorder="1" applyFont="1"/>
    <xf borderId="7" fillId="7" fontId="12" numFmtId="0" xfId="0" applyBorder="1" applyFont="1"/>
    <xf borderId="7" fillId="7" fontId="2" numFmtId="164" xfId="0" applyAlignment="1" applyBorder="1" applyFont="1" applyNumberFormat="1">
      <alignment horizontal="right"/>
    </xf>
    <xf borderId="0" fillId="7" fontId="2" numFmtId="0" xfId="0" applyFont="1"/>
    <xf borderId="0" fillId="7" fontId="12" numFmtId="0" xfId="0" applyFont="1"/>
    <xf borderId="0" fillId="7" fontId="12" numFmtId="0" xfId="0" applyAlignment="1" applyFont="1">
      <alignment horizontal="right"/>
    </xf>
    <xf borderId="0" fillId="7" fontId="1" numFmtId="164" xfId="0" applyAlignment="1" applyFont="1" applyNumberFormat="1">
      <alignment readingOrder="0"/>
    </xf>
    <xf borderId="0" fillId="7" fontId="1" numFmtId="164" xfId="0" applyAlignment="1" applyFont="1" applyNumberFormat="1">
      <alignment horizontal="right" readingOrder="0"/>
    </xf>
    <xf borderId="7" fillId="7" fontId="1" numFmtId="0" xfId="0" applyAlignment="1" applyBorder="1" applyFont="1">
      <alignment horizontal="right"/>
    </xf>
    <xf borderId="7" fillId="7" fontId="1" numFmtId="164" xfId="0" applyAlignment="1" applyBorder="1" applyFont="1" applyNumberFormat="1">
      <alignment horizontal="right" readingOrder="0"/>
    </xf>
    <xf borderId="0" fillId="7" fontId="12" numFmtId="164" xfId="0" applyFont="1" applyNumberFormat="1"/>
    <xf borderId="0" fillId="7" fontId="2" numFmtId="164" xfId="0" applyAlignment="1" applyFont="1" applyNumberFormat="1">
      <alignment horizontal="right"/>
    </xf>
    <xf borderId="0" fillId="7" fontId="1" numFmtId="164" xfId="0" applyAlignment="1" applyFont="1" applyNumberFormat="1">
      <alignment horizontal="right"/>
    </xf>
    <xf borderId="0" fillId="7" fontId="2" numFmtId="164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right"/>
    </xf>
    <xf borderId="0" fillId="3" fontId="13" numFmtId="0" xfId="0" applyAlignment="1" applyFont="1">
      <alignment horizontal="center"/>
    </xf>
    <xf borderId="0" fillId="0" fontId="12" numFmtId="0" xfId="0" applyFont="1"/>
    <xf borderId="0" fillId="3" fontId="14" numFmtId="0" xfId="0" applyAlignment="1" applyFont="1">
      <alignment horizontal="center"/>
    </xf>
    <xf borderId="7" fillId="7" fontId="2" numFmtId="164" xfId="0" applyAlignment="1" applyBorder="1" applyFont="1" applyNumberFormat="1">
      <alignment horizontal="right" readingOrder="0"/>
    </xf>
    <xf borderId="0" fillId="0" fontId="15" numFmtId="9" xfId="0" applyFont="1" applyNumberFormat="1"/>
    <xf borderId="0" fillId="3" fontId="14" numFmtId="0" xfId="0" applyAlignment="1" applyFont="1">
      <alignment horizontal="left"/>
    </xf>
    <xf borderId="0" fillId="0" fontId="15" numFmtId="165" xfId="0" applyFont="1" applyNumberFormat="1"/>
    <xf borderId="0" fillId="6" fontId="16" numFmtId="0" xfId="0" applyAlignment="1" applyFont="1">
      <alignment horizontal="center" shrinkToFit="0" wrapText="1"/>
    </xf>
    <xf borderId="0" fillId="0" fontId="17" numFmtId="0" xfId="0" applyAlignment="1" applyFont="1">
      <alignment horizontal="right"/>
    </xf>
    <xf borderId="0" fillId="0" fontId="10" numFmtId="166" xfId="0" applyAlignment="1" applyFont="1" applyNumberFormat="1">
      <alignment horizontal="center"/>
    </xf>
    <xf borderId="0" fillId="0" fontId="18" numFmtId="0" xfId="0" applyAlignment="1" applyFont="1">
      <alignment horizontal="center"/>
    </xf>
    <xf borderId="0" fillId="0" fontId="10" numFmtId="165" xfId="0" applyAlignment="1" applyFont="1" applyNumberFormat="1">
      <alignment horizontal="center"/>
    </xf>
    <xf borderId="0" fillId="0" fontId="16" numFmtId="0" xfId="0" applyAlignment="1" applyFont="1">
      <alignment vertical="center"/>
    </xf>
    <xf quotePrefix="1" borderId="0" fillId="0" fontId="13" numFmtId="0" xfId="0" applyAlignment="1" applyFont="1">
      <alignment horizontal="center" vertical="center"/>
    </xf>
    <xf borderId="0" fillId="0" fontId="10" numFmtId="0" xfId="0" applyAlignment="1" applyFont="1">
      <alignment horizontal="center"/>
    </xf>
    <xf borderId="8" fillId="3" fontId="13" numFmtId="0" xfId="0" applyAlignment="1" applyBorder="1" applyFont="1">
      <alignment horizontal="center"/>
    </xf>
    <xf borderId="9" fillId="0" fontId="3" numFmtId="0" xfId="0" applyBorder="1" applyFont="1"/>
    <xf borderId="9" fillId="0" fontId="12" numFmtId="0" xfId="0" applyBorder="1" applyFont="1"/>
    <xf borderId="10" fillId="0" fontId="12" numFmtId="0" xfId="0" applyBorder="1" applyFont="1"/>
    <xf borderId="8" fillId="3" fontId="14" numFmtId="0" xfId="0" applyAlignment="1" applyBorder="1" applyFont="1">
      <alignment horizontal="center"/>
    </xf>
    <xf borderId="0" fillId="3" fontId="19" numFmtId="0" xfId="0" applyAlignment="1" applyFont="1">
      <alignment horizontal="center"/>
    </xf>
    <xf borderId="11" fillId="0" fontId="12" numFmtId="0" xfId="0" applyBorder="1" applyFont="1"/>
    <xf borderId="12" fillId="0" fontId="12" numFmtId="0" xfId="0" applyBorder="1" applyFont="1"/>
    <xf borderId="11" fillId="4" fontId="4" numFmtId="0" xfId="0" applyAlignment="1" applyBorder="1" applyFont="1">
      <alignment readingOrder="0"/>
    </xf>
    <xf borderId="11" fillId="7" fontId="1" numFmtId="0" xfId="0" applyBorder="1" applyFont="1"/>
    <xf borderId="13" fillId="7" fontId="2" numFmtId="0" xfId="0" applyBorder="1" applyFont="1"/>
    <xf borderId="11" fillId="7" fontId="2" numFmtId="0" xfId="0" applyBorder="1" applyFont="1"/>
    <xf borderId="11" fillId="7" fontId="12" numFmtId="0" xfId="0" applyAlignment="1" applyBorder="1" applyFont="1">
      <alignment horizontal="right"/>
    </xf>
    <xf borderId="11" fillId="7" fontId="1" numFmtId="0" xfId="0" applyAlignment="1" applyBorder="1" applyFont="1">
      <alignment horizontal="right"/>
    </xf>
    <xf borderId="13" fillId="7" fontId="1" numFmtId="0" xfId="0" applyAlignment="1" applyBorder="1" applyFont="1">
      <alignment horizontal="right"/>
    </xf>
    <xf borderId="12" fillId="0" fontId="20" numFmtId="0" xfId="0" applyBorder="1" applyFont="1"/>
    <xf borderId="12" fillId="6" fontId="16" numFmtId="0" xfId="0" applyAlignment="1" applyBorder="1" applyFont="1">
      <alignment horizontal="center" shrinkToFit="0" wrapText="1"/>
    </xf>
    <xf borderId="12" fillId="0" fontId="10" numFmtId="166" xfId="0" applyAlignment="1" applyBorder="1" applyFont="1" applyNumberFormat="1">
      <alignment horizontal="center"/>
    </xf>
    <xf borderId="7" fillId="7" fontId="1" numFmtId="164" xfId="0" applyAlignment="1" applyBorder="1" applyFont="1" applyNumberFormat="1">
      <alignment horizontal="right"/>
    </xf>
    <xf borderId="0" fillId="8" fontId="15" numFmtId="165" xfId="0" applyFill="1" applyFont="1" applyNumberFormat="1"/>
    <xf borderId="12" fillId="0" fontId="12" numFmtId="0" xfId="0" applyAlignment="1" applyBorder="1" applyFont="1">
      <alignment horizontal="center"/>
    </xf>
    <xf borderId="12" fillId="0" fontId="16" numFmtId="166" xfId="0" applyAlignment="1" applyBorder="1" applyFont="1" applyNumberFormat="1">
      <alignment horizontal="center"/>
    </xf>
    <xf borderId="12" fillId="0" fontId="10" numFmtId="165" xfId="0" applyAlignment="1" applyBorder="1" applyFont="1" applyNumberFormat="1">
      <alignment horizontal="center"/>
    </xf>
    <xf borderId="11" fillId="7" fontId="12" numFmtId="0" xfId="0" applyBorder="1" applyFont="1"/>
    <xf borderId="11" fillId="0" fontId="1" numFmtId="0" xfId="0" applyBorder="1" applyFont="1"/>
    <xf borderId="11" fillId="7" fontId="18" numFmtId="0" xfId="0" applyBorder="1" applyFont="1"/>
    <xf borderId="14" fillId="0" fontId="12" numFmtId="0" xfId="0" applyBorder="1" applyFont="1"/>
    <xf borderId="15" fillId="0" fontId="12" numFmtId="0" xfId="0" applyBorder="1" applyFont="1"/>
    <xf borderId="16" fillId="0" fontId="10" numFmtId="165" xfId="0" applyAlignment="1" applyBorder="1" applyFont="1" applyNumberFormat="1">
      <alignment horizontal="center"/>
    </xf>
    <xf borderId="14" fillId="0" fontId="18" numFmtId="0" xfId="0" applyBorder="1" applyFont="1"/>
    <xf borderId="15" fillId="0" fontId="6" numFmtId="2" xfId="0" applyBorder="1" applyFont="1" applyNumberFormat="1"/>
    <xf borderId="8" fillId="3" fontId="19" numFmtId="0" xfId="0" applyAlignment="1" applyBorder="1" applyFont="1">
      <alignment horizontal="center"/>
    </xf>
    <xf borderId="11" fillId="4" fontId="4" numFmtId="0" xfId="0" applyBorder="1" applyFont="1"/>
    <xf borderId="0" fillId="7" fontId="1" numFmtId="164" xfId="0" applyFont="1" applyNumberFormat="1"/>
    <xf borderId="11" fillId="7" fontId="2" numFmtId="0" xfId="0" applyAlignment="1" applyBorder="1" applyFont="1">
      <alignment horizontal="right"/>
    </xf>
    <xf borderId="8" fillId="9" fontId="21" numFmtId="0" xfId="0" applyAlignment="1" applyBorder="1" applyFill="1" applyFont="1">
      <alignment horizontal="center" vertical="center"/>
    </xf>
    <xf borderId="10" fillId="0" fontId="3" numFmtId="0" xfId="0" applyBorder="1" applyFont="1"/>
    <xf borderId="8" fillId="10" fontId="22" numFmtId="0" xfId="0" applyAlignment="1" applyBorder="1" applyFill="1" applyFont="1">
      <alignment horizontal="center" vertical="center"/>
    </xf>
    <xf borderId="11" fillId="0" fontId="3" numFmtId="0" xfId="0" applyBorder="1" applyFont="1"/>
    <xf borderId="12" fillId="0" fontId="3" numFmtId="0" xfId="0" applyBorder="1" applyFont="1"/>
    <xf borderId="17" fillId="9" fontId="4" numFmtId="0" xfId="0" applyBorder="1" applyFont="1"/>
    <xf borderId="4" fillId="9" fontId="4" numFmtId="0" xfId="0" applyAlignment="1" applyBorder="1" applyFont="1">
      <alignment horizontal="center" vertical="center"/>
    </xf>
    <xf borderId="0" fillId="9" fontId="20" numFmtId="0" xfId="0" applyFont="1"/>
    <xf borderId="18" fillId="9" fontId="4" numFmtId="0" xfId="0" applyAlignment="1" applyBorder="1" applyFont="1">
      <alignment horizontal="center"/>
    </xf>
    <xf borderId="12" fillId="7" fontId="1" numFmtId="0" xfId="0" applyAlignment="1" applyBorder="1" applyFont="1">
      <alignment horizontal="right"/>
    </xf>
    <xf borderId="17" fillId="0" fontId="2" numFmtId="0" xfId="0" applyBorder="1" applyFont="1"/>
    <xf borderId="5" fillId="0" fontId="6" numFmtId="164" xfId="0" applyAlignment="1" applyBorder="1" applyFont="1" applyNumberFormat="1">
      <alignment horizontal="right" vertical="top"/>
    </xf>
    <xf borderId="0" fillId="0" fontId="23" numFmtId="9" xfId="0" applyAlignment="1" applyFont="1" applyNumberFormat="1">
      <alignment horizontal="center"/>
    </xf>
    <xf borderId="12" fillId="0" fontId="2" numFmtId="0" xfId="0" applyAlignment="1" applyBorder="1" applyFont="1">
      <alignment horizontal="center" shrinkToFit="0" wrapText="1"/>
    </xf>
    <xf borderId="19" fillId="7" fontId="2" numFmtId="164" xfId="0" applyAlignment="1" applyBorder="1" applyFont="1" applyNumberFormat="1">
      <alignment horizontal="right" readingOrder="0"/>
    </xf>
    <xf borderId="4" fillId="0" fontId="6" numFmtId="164" xfId="0" applyAlignment="1" applyBorder="1" applyFont="1" applyNumberFormat="1">
      <alignment horizontal="right" vertical="top"/>
    </xf>
    <xf borderId="17" fillId="0" fontId="9" numFmtId="0" xfId="0" applyBorder="1" applyFont="1"/>
    <xf borderId="5" fillId="6" fontId="6" numFmtId="164" xfId="0" applyAlignment="1" applyBorder="1" applyFont="1" applyNumberFormat="1">
      <alignment readingOrder="0" vertical="top"/>
    </xf>
    <xf borderId="19" fillId="7" fontId="1" numFmtId="0" xfId="0" applyAlignment="1" applyBorder="1" applyFont="1">
      <alignment horizontal="right"/>
    </xf>
    <xf borderId="20" fillId="0" fontId="2" numFmtId="0" xfId="0" applyBorder="1" applyFont="1"/>
    <xf borderId="21" fillId="5" fontId="1" numFmtId="0" xfId="0" applyAlignment="1" applyBorder="1" applyFont="1">
      <alignment horizontal="right"/>
    </xf>
    <xf borderId="15" fillId="5" fontId="23" numFmtId="9" xfId="0" applyAlignment="1" applyBorder="1" applyFont="1" applyNumberFormat="1">
      <alignment horizontal="center"/>
    </xf>
    <xf borderId="16" fillId="0" fontId="2" numFmtId="0" xfId="0" applyAlignment="1" applyBorder="1" applyFont="1">
      <alignment horizontal="center" shrinkToFit="0" wrapText="1"/>
    </xf>
    <xf borderId="12" fillId="7" fontId="2" numFmtId="164" xfId="0" applyAlignment="1" applyBorder="1" applyFont="1" applyNumberFormat="1">
      <alignment horizontal="right" readingOrder="0"/>
    </xf>
    <xf borderId="12" fillId="7" fontId="2" numFmtId="164" xfId="0" applyAlignment="1" applyBorder="1" applyFont="1" applyNumberFormat="1">
      <alignment horizontal="right"/>
    </xf>
    <xf borderId="0" fillId="10" fontId="5" numFmtId="0" xfId="0" applyAlignment="1" applyFont="1">
      <alignment horizontal="center" vertical="center"/>
    </xf>
    <xf borderId="12" fillId="7" fontId="12" numFmtId="0" xfId="0" applyBorder="1" applyFont="1"/>
    <xf borderId="22" fillId="9" fontId="7" numFmtId="0" xfId="0" applyAlignment="1" applyBorder="1" applyFont="1">
      <alignment vertical="bottom"/>
    </xf>
    <xf borderId="23" fillId="9" fontId="4" numFmtId="0" xfId="0" applyAlignment="1" applyBorder="1" applyFont="1">
      <alignment horizontal="center"/>
    </xf>
    <xf borderId="23" fillId="9" fontId="4" numFmtId="0" xfId="0" applyAlignment="1" applyBorder="1" applyFont="1">
      <alignment horizontal="center" shrinkToFit="0" wrapText="1"/>
    </xf>
    <xf borderId="24" fillId="0" fontId="24" numFmtId="0" xfId="0" applyAlignment="1" applyBorder="1" applyFont="1">
      <alignment vertical="bottom"/>
    </xf>
    <xf borderId="24" fillId="11" fontId="25" numFmtId="9" xfId="0" applyAlignment="1" applyBorder="1" applyFill="1" applyFont="1" applyNumberFormat="1">
      <alignment horizontal="center"/>
    </xf>
    <xf borderId="12" fillId="0" fontId="1" numFmtId="0" xfId="0" applyAlignment="1" applyBorder="1" applyFont="1">
      <alignment horizontal="right"/>
    </xf>
    <xf borderId="24" fillId="0" fontId="26" numFmtId="0" xfId="0" applyAlignment="1" applyBorder="1" applyFont="1">
      <alignment vertical="bottom"/>
    </xf>
    <xf borderId="24" fillId="0" fontId="27" numFmtId="9" xfId="0" applyAlignment="1" applyBorder="1" applyFont="1" applyNumberFormat="1">
      <alignment horizontal="center"/>
    </xf>
    <xf borderId="25" fillId="4" fontId="4" numFmtId="0" xfId="0" applyBorder="1" applyFont="1"/>
    <xf borderId="26" fillId="0" fontId="3" numFmtId="0" xfId="0" applyBorder="1" applyFont="1"/>
    <xf borderId="27" fillId="0" fontId="3" numFmtId="0" xfId="0" applyBorder="1" applyFont="1"/>
    <xf borderId="11" fillId="0" fontId="2" numFmtId="0" xfId="0" applyAlignment="1" applyBorder="1" applyFont="1">
      <alignment horizontal="right"/>
    </xf>
    <xf borderId="12" fillId="0" fontId="2" numFmtId="164" xfId="0" applyAlignment="1" applyBorder="1" applyFont="1" applyNumberFormat="1">
      <alignment horizontal="right"/>
    </xf>
    <xf borderId="14" fillId="0" fontId="2" numFmtId="0" xfId="0" applyAlignment="1" applyBorder="1" applyFont="1">
      <alignment horizontal="right"/>
    </xf>
    <xf borderId="15" fillId="0" fontId="1" numFmtId="0" xfId="0" applyAlignment="1" applyBorder="1" applyFont="1">
      <alignment horizontal="right"/>
    </xf>
    <xf borderId="16" fillId="0" fontId="2" numFmtId="164" xfId="0" applyAlignment="1" applyBorder="1" applyFont="1" applyNumberFormat="1">
      <alignment horizontal="right"/>
    </xf>
    <xf borderId="6" fillId="12" fontId="2" numFmtId="0" xfId="0" applyAlignment="1" applyBorder="1" applyFill="1" applyFont="1">
      <alignment horizontal="right" vertical="bottom"/>
    </xf>
    <xf borderId="6" fillId="12" fontId="2" numFmtId="9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38"/>
    <col customWidth="1" min="2" max="2" width="15.38"/>
    <col customWidth="1" min="3" max="3" width="16.38"/>
    <col customWidth="1" min="4" max="4" width="14.0"/>
    <col customWidth="1" min="5" max="5" width="15.38"/>
    <col customWidth="1" min="6" max="6" width="14.75"/>
    <col customWidth="1" min="7" max="8" width="18.0"/>
    <col customWidth="1" min="9" max="9" width="30.25"/>
    <col customWidth="1" min="10" max="10" width="3.25"/>
    <col customWidth="1" min="11" max="11" width="32.88"/>
    <col customWidth="1" min="12" max="27" width="14.38"/>
  </cols>
  <sheetData>
    <row r="1" ht="15.75" customHeight="1">
      <c r="A1" s="1"/>
      <c r="B1" s="2"/>
      <c r="C1" s="2"/>
      <c r="D1" s="2"/>
      <c r="E1" s="2"/>
      <c r="F1" s="3"/>
      <c r="G1" s="4" t="s">
        <v>0</v>
      </c>
      <c r="H1" s="5"/>
      <c r="I1" s="6"/>
      <c r="J1" s="7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15.75" customHeight="1">
      <c r="A2" s="8"/>
      <c r="B2" s="9" t="s">
        <v>1</v>
      </c>
      <c r="C2" s="10" t="s">
        <v>2</v>
      </c>
      <c r="D2" s="10" t="s">
        <v>3</v>
      </c>
      <c r="E2" s="9" t="s">
        <v>4</v>
      </c>
      <c r="F2" s="9" t="s">
        <v>5</v>
      </c>
      <c r="G2" s="10" t="s">
        <v>6</v>
      </c>
      <c r="H2" s="11" t="s">
        <v>7</v>
      </c>
      <c r="I2" s="6"/>
      <c r="J2" s="7"/>
      <c r="K2" s="12" t="s">
        <v>8</v>
      </c>
      <c r="R2" s="6"/>
      <c r="S2" s="6"/>
      <c r="T2" s="6"/>
      <c r="U2" s="6"/>
      <c r="V2" s="6"/>
      <c r="W2" s="6"/>
      <c r="X2" s="6"/>
      <c r="Y2" s="6"/>
      <c r="Z2" s="6"/>
      <c r="AA2" s="6"/>
    </row>
    <row r="3" ht="15.75" customHeight="1">
      <c r="A3" s="13" t="s">
        <v>9</v>
      </c>
      <c r="B3" s="14">
        <v>18724.25</v>
      </c>
      <c r="C3" s="15"/>
      <c r="D3" s="15"/>
      <c r="E3" s="15"/>
      <c r="F3" s="15"/>
      <c r="G3" s="16">
        <v>1.0</v>
      </c>
      <c r="H3" s="16">
        <v>1.0</v>
      </c>
      <c r="I3" s="17" t="s">
        <v>10</v>
      </c>
      <c r="J3" s="18"/>
      <c r="K3" s="19"/>
      <c r="L3" s="20" t="s">
        <v>11</v>
      </c>
      <c r="M3" s="21" t="s">
        <v>12</v>
      </c>
      <c r="N3" s="21" t="s">
        <v>13</v>
      </c>
      <c r="O3" s="20" t="s">
        <v>14</v>
      </c>
      <c r="P3" s="20" t="s">
        <v>15</v>
      </c>
      <c r="Q3" s="21" t="s">
        <v>16</v>
      </c>
      <c r="R3" s="6"/>
      <c r="S3" s="6"/>
      <c r="T3" s="6"/>
      <c r="U3" s="6"/>
      <c r="V3" s="6"/>
      <c r="W3" s="6"/>
      <c r="X3" s="6"/>
      <c r="Y3" s="6"/>
      <c r="Z3" s="6"/>
      <c r="AA3" s="6"/>
    </row>
    <row r="4" ht="15.75" customHeight="1">
      <c r="A4" s="13" t="s">
        <v>17</v>
      </c>
      <c r="B4" s="22">
        <v>847.0</v>
      </c>
      <c r="C4" s="15"/>
      <c r="D4" s="15"/>
      <c r="E4" s="15"/>
      <c r="F4" s="15"/>
      <c r="G4" s="23">
        <f>B4/$B$3</f>
        <v>0.04523545669</v>
      </c>
      <c r="H4" s="24">
        <f>G4</f>
        <v>0.04523545669</v>
      </c>
      <c r="I4" s="17"/>
      <c r="J4" s="18"/>
      <c r="K4" s="25" t="s">
        <v>18</v>
      </c>
      <c r="L4" s="26" t="s">
        <v>19</v>
      </c>
      <c r="M4" s="26" t="s">
        <v>20</v>
      </c>
      <c r="N4" s="26" t="s">
        <v>21</v>
      </c>
      <c r="O4" s="26" t="s">
        <v>22</v>
      </c>
      <c r="P4" s="26" t="s">
        <v>23</v>
      </c>
      <c r="Q4" s="26" t="s">
        <v>24</v>
      </c>
      <c r="R4" s="6"/>
      <c r="S4" s="6"/>
      <c r="T4" s="6"/>
      <c r="U4" s="6"/>
      <c r="V4" s="6"/>
      <c r="W4" s="6"/>
      <c r="X4" s="6"/>
      <c r="Y4" s="6"/>
      <c r="Z4" s="6"/>
      <c r="AA4" s="6"/>
    </row>
    <row r="5" ht="15.75" customHeight="1">
      <c r="A5" s="27" t="s">
        <v>25</v>
      </c>
      <c r="B5" s="28">
        <v>17377.25</v>
      </c>
      <c r="C5" s="29">
        <v>1.0</v>
      </c>
      <c r="D5" s="15"/>
      <c r="E5" s="15"/>
      <c r="F5" s="15"/>
      <c r="G5" s="15"/>
      <c r="H5" s="15"/>
      <c r="I5" s="17"/>
      <c r="J5" s="18"/>
      <c r="K5" s="30" t="s">
        <v>25</v>
      </c>
      <c r="L5" s="31">
        <v>1.0</v>
      </c>
      <c r="M5" s="31">
        <v>1.0</v>
      </c>
      <c r="N5" s="31">
        <v>1.0</v>
      </c>
      <c r="O5" s="31">
        <v>1.0</v>
      </c>
      <c r="P5" s="31">
        <v>1.0</v>
      </c>
      <c r="Q5" s="31">
        <v>1.0</v>
      </c>
      <c r="R5" s="6"/>
      <c r="S5" s="6"/>
      <c r="T5" s="6"/>
      <c r="U5" s="6"/>
      <c r="V5" s="6"/>
      <c r="W5" s="6"/>
      <c r="X5" s="6"/>
      <c r="Y5" s="6"/>
      <c r="Z5" s="6"/>
      <c r="AA5" s="6"/>
    </row>
    <row r="6" ht="15.75" customHeight="1">
      <c r="A6" s="13" t="s">
        <v>26</v>
      </c>
      <c r="B6" s="32">
        <v>0.0</v>
      </c>
      <c r="C6" s="33">
        <v>0.01</v>
      </c>
      <c r="D6" s="34">
        <f t="shared" ref="D6:D9" si="1">C6*$B$5</f>
        <v>173.7725</v>
      </c>
      <c r="E6" s="34">
        <f t="shared" ref="E6:E9" si="2">B6-D6</f>
        <v>-173.7725</v>
      </c>
      <c r="F6" s="35" t="str">
        <f t="shared" ref="F6:F9" si="3">if(E6=0,"-",(if(E6&lt;0,"INCREASE","DECREASE")))</f>
        <v>INCREASE</v>
      </c>
      <c r="G6" s="23">
        <f t="shared" ref="G6:G9" si="4">B6/$B$3</f>
        <v>0</v>
      </c>
      <c r="H6" s="23">
        <f t="shared" ref="H6:H8" si="5">D6/$B$3</f>
        <v>0.009280612041</v>
      </c>
      <c r="I6" s="17" t="s">
        <v>27</v>
      </c>
      <c r="J6" s="18"/>
      <c r="K6" s="36" t="s">
        <v>28</v>
      </c>
      <c r="L6" s="31">
        <v>0.1</v>
      </c>
      <c r="M6" s="31">
        <v>0.2</v>
      </c>
      <c r="N6" s="31">
        <v>0.25</v>
      </c>
      <c r="O6" s="31">
        <v>0.25</v>
      </c>
      <c r="P6" s="31">
        <v>0.25</v>
      </c>
      <c r="Q6" s="31">
        <v>0.2</v>
      </c>
      <c r="R6" s="6"/>
      <c r="S6" s="6"/>
      <c r="T6" s="6"/>
      <c r="U6" s="6"/>
      <c r="V6" s="6"/>
      <c r="W6" s="6"/>
      <c r="X6" s="6"/>
      <c r="Y6" s="6"/>
      <c r="Z6" s="6"/>
      <c r="AA6" s="6"/>
    </row>
    <row r="7" ht="15.75" customHeight="1">
      <c r="A7" s="13" t="s">
        <v>29</v>
      </c>
      <c r="B7" s="32">
        <v>0.0</v>
      </c>
      <c r="C7" s="37">
        <v>0.01</v>
      </c>
      <c r="D7" s="34">
        <f t="shared" si="1"/>
        <v>173.7725</v>
      </c>
      <c r="E7" s="34">
        <f t="shared" si="2"/>
        <v>-173.7725</v>
      </c>
      <c r="F7" s="35" t="str">
        <f t="shared" si="3"/>
        <v>INCREASE</v>
      </c>
      <c r="G7" s="23">
        <f t="shared" si="4"/>
        <v>0</v>
      </c>
      <c r="H7" s="23">
        <f t="shared" si="5"/>
        <v>0.009280612041</v>
      </c>
      <c r="I7" s="17" t="s">
        <v>30</v>
      </c>
      <c r="J7" s="18"/>
      <c r="K7" s="36" t="s">
        <v>29</v>
      </c>
      <c r="L7" s="31">
        <v>0.15</v>
      </c>
      <c r="M7" s="31">
        <v>0.15</v>
      </c>
      <c r="N7" s="31">
        <v>0.15</v>
      </c>
      <c r="O7" s="31">
        <v>0.15</v>
      </c>
      <c r="P7" s="31">
        <v>0.15</v>
      </c>
      <c r="Q7" s="31">
        <v>0.15</v>
      </c>
      <c r="R7" s="6"/>
      <c r="S7" s="6"/>
      <c r="T7" s="6"/>
      <c r="U7" s="6"/>
      <c r="V7" s="6"/>
      <c r="W7" s="6"/>
      <c r="X7" s="6"/>
      <c r="Y7" s="6"/>
      <c r="Z7" s="6"/>
      <c r="AA7" s="6"/>
    </row>
    <row r="8" ht="15.75" customHeight="1">
      <c r="A8" s="13" t="s">
        <v>31</v>
      </c>
      <c r="B8" s="38">
        <v>0.0</v>
      </c>
      <c r="C8" s="37">
        <v>0.03</v>
      </c>
      <c r="D8" s="34">
        <f t="shared" si="1"/>
        <v>521.3175</v>
      </c>
      <c r="E8" s="34">
        <f t="shared" si="2"/>
        <v>-521.3175</v>
      </c>
      <c r="F8" s="35" t="str">
        <f t="shared" si="3"/>
        <v>INCREASE</v>
      </c>
      <c r="G8" s="23">
        <f t="shared" si="4"/>
        <v>0</v>
      </c>
      <c r="H8" s="23">
        <f t="shared" si="5"/>
        <v>0.02784183612</v>
      </c>
      <c r="I8" s="17" t="s">
        <v>32</v>
      </c>
      <c r="J8" s="18"/>
      <c r="K8" s="36" t="s">
        <v>31</v>
      </c>
      <c r="L8" s="31">
        <v>0.45</v>
      </c>
      <c r="M8" s="31">
        <v>0.25</v>
      </c>
      <c r="N8" s="31">
        <v>0.2</v>
      </c>
      <c r="O8" s="31">
        <v>0.1</v>
      </c>
      <c r="P8" s="31">
        <v>0.1</v>
      </c>
      <c r="Q8" s="31">
        <v>0.07</v>
      </c>
      <c r="R8" s="6"/>
      <c r="S8" s="6"/>
      <c r="T8" s="6"/>
      <c r="U8" s="6"/>
      <c r="V8" s="6"/>
      <c r="W8" s="6"/>
      <c r="X8" s="6"/>
      <c r="Y8" s="6"/>
      <c r="Z8" s="6"/>
      <c r="AA8" s="6"/>
    </row>
    <row r="9" ht="15.75" customHeight="1">
      <c r="A9" s="13" t="s">
        <v>33</v>
      </c>
      <c r="B9" s="39">
        <f>B5-B6-B8-B7</f>
        <v>17377.25</v>
      </c>
      <c r="C9" s="37">
        <v>0.96</v>
      </c>
      <c r="D9" s="34">
        <f t="shared" si="1"/>
        <v>16682.16</v>
      </c>
      <c r="E9" s="34">
        <f t="shared" si="2"/>
        <v>695.09</v>
      </c>
      <c r="F9" s="35" t="str">
        <f t="shared" si="3"/>
        <v>DECREASE</v>
      </c>
      <c r="G9" s="23">
        <f t="shared" si="4"/>
        <v>0.9280612041</v>
      </c>
      <c r="H9" s="23">
        <f>D9/B3</f>
        <v>0.8909387559</v>
      </c>
      <c r="I9" s="17"/>
      <c r="J9" s="18"/>
      <c r="K9" s="36" t="s">
        <v>33</v>
      </c>
      <c r="L9" s="31">
        <v>0.3</v>
      </c>
      <c r="M9" s="31">
        <v>0.4</v>
      </c>
      <c r="N9" s="31">
        <v>0.4</v>
      </c>
      <c r="O9" s="31">
        <v>0.5</v>
      </c>
      <c r="P9" s="31">
        <v>0.5</v>
      </c>
      <c r="Q9" s="31">
        <v>0.58</v>
      </c>
      <c r="R9" s="6"/>
      <c r="S9" s="6"/>
      <c r="T9" s="6"/>
      <c r="U9" s="6"/>
      <c r="V9" s="6"/>
      <c r="W9" s="6"/>
      <c r="X9" s="6"/>
      <c r="Y9" s="6"/>
      <c r="Z9" s="6"/>
      <c r="AA9" s="6"/>
    </row>
    <row r="10" ht="15.75" customHeight="1">
      <c r="A10" s="13" t="s">
        <v>34</v>
      </c>
      <c r="B10" s="15"/>
      <c r="C10" s="15"/>
      <c r="D10" s="40"/>
      <c r="E10" s="40"/>
      <c r="F10" s="40"/>
      <c r="G10" s="41">
        <f t="shared" ref="G10:H10" si="6">G4+G9</f>
        <v>0.9732966607</v>
      </c>
      <c r="H10" s="41">
        <f t="shared" si="6"/>
        <v>0.9361742126</v>
      </c>
      <c r="I10" s="17" t="s">
        <v>35</v>
      </c>
      <c r="J10" s="18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15.75" customHeight="1">
      <c r="A11" s="6"/>
      <c r="B11" s="42"/>
      <c r="C11" s="42"/>
      <c r="D11" s="42"/>
      <c r="E11" s="42"/>
      <c r="F11" s="42"/>
      <c r="G11" s="43">
        <f t="shared" ref="G11:H11" si="7">G6+G7+G8+G10</f>
        <v>0.9732966607</v>
      </c>
      <c r="H11" s="43">
        <f t="shared" si="7"/>
        <v>0.9825772728</v>
      </c>
      <c r="I11" s="6"/>
      <c r="J11" s="7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15.75" customHeight="1">
      <c r="A12" s="44" t="s">
        <v>36</v>
      </c>
      <c r="B12" s="6" t="s">
        <v>37</v>
      </c>
      <c r="I12" s="6"/>
      <c r="J12" s="7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15.75" customHeight="1">
      <c r="A13" s="44" t="s">
        <v>38</v>
      </c>
      <c r="B13" s="6" t="s">
        <v>39</v>
      </c>
      <c r="I13" s="6"/>
      <c r="J13" s="7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15.75" customHeight="1">
      <c r="A14" s="44" t="s">
        <v>40</v>
      </c>
      <c r="B14" s="6" t="s">
        <v>41</v>
      </c>
      <c r="I14" s="6"/>
      <c r="J14" s="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15.75" customHeight="1">
      <c r="A15" s="44" t="s">
        <v>42</v>
      </c>
      <c r="B15" s="6" t="s">
        <v>43</v>
      </c>
      <c r="I15" s="6"/>
      <c r="J15" s="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15.75" customHeight="1">
      <c r="A16" s="44" t="s">
        <v>44</v>
      </c>
      <c r="B16" s="6" t="s">
        <v>45</v>
      </c>
      <c r="I16" s="6"/>
      <c r="J16" s="7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15.75" customHeight="1">
      <c r="A17" s="44" t="s">
        <v>46</v>
      </c>
      <c r="B17" s="6" t="s">
        <v>47</v>
      </c>
      <c r="I17" s="6"/>
      <c r="J17" s="7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23.25" customHeight="1">
      <c r="A18" s="45" t="s">
        <v>48</v>
      </c>
      <c r="I18" s="6"/>
      <c r="J18" s="7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7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5.75" customHeight="1">
      <c r="A21" s="46" t="s">
        <v>49</v>
      </c>
      <c r="D21" s="6"/>
      <c r="E21" s="6"/>
      <c r="F21" s="6"/>
      <c r="G21" s="6"/>
      <c r="H21" s="6"/>
      <c r="I21" s="6"/>
      <c r="J21" s="7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5.75" customHeight="1">
      <c r="A22" s="47"/>
      <c r="B22" s="48"/>
      <c r="C22" s="48"/>
      <c r="D22" s="42"/>
      <c r="E22" s="42"/>
      <c r="F22" s="42"/>
      <c r="G22" s="42"/>
      <c r="H22" s="42"/>
      <c r="I22" s="6"/>
      <c r="J22" s="7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5.75" customHeight="1">
      <c r="A23" s="49" t="s">
        <v>50</v>
      </c>
      <c r="B23" s="50"/>
      <c r="C23" s="51">
        <v>1458830.97</v>
      </c>
      <c r="D23" s="42"/>
      <c r="E23" s="42"/>
      <c r="F23" s="42"/>
      <c r="G23" s="42"/>
      <c r="H23" s="42"/>
      <c r="I23" s="6"/>
      <c r="J23" s="7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5.75" customHeight="1">
      <c r="A24" s="52"/>
      <c r="B24" s="53"/>
      <c r="C24" s="48"/>
      <c r="D24" s="42"/>
      <c r="E24" s="42"/>
      <c r="F24" s="42"/>
      <c r="G24" s="42"/>
      <c r="H24" s="42"/>
      <c r="I24" s="6"/>
      <c r="J24" s="7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5.75" customHeight="1">
      <c r="A25" s="52" t="s">
        <v>51</v>
      </c>
      <c r="B25" s="53"/>
      <c r="C25" s="48"/>
      <c r="D25" s="42"/>
      <c r="E25" s="42"/>
      <c r="F25" s="42"/>
      <c r="G25" s="42"/>
      <c r="H25" s="42"/>
      <c r="I25" s="6"/>
      <c r="J25" s="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5.75" customHeight="1">
      <c r="A26" s="54" t="s">
        <v>52</v>
      </c>
      <c r="B26" s="55">
        <v>0.0</v>
      </c>
      <c r="C26" s="48"/>
      <c r="D26" s="42"/>
      <c r="E26" s="42"/>
      <c r="F26" s="42"/>
      <c r="G26" s="42"/>
      <c r="H26" s="42"/>
      <c r="I26" s="6"/>
      <c r="J26" s="7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5.75" customHeight="1">
      <c r="A27" s="54" t="s">
        <v>53</v>
      </c>
      <c r="B27" s="55">
        <v>0.0</v>
      </c>
      <c r="C27" s="48"/>
      <c r="D27" s="42"/>
      <c r="E27" s="42"/>
      <c r="F27" s="42"/>
      <c r="G27" s="42"/>
      <c r="H27" s="42"/>
      <c r="I27" s="6"/>
      <c r="J27" s="7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5.75" customHeight="1">
      <c r="A28" s="48" t="s">
        <v>54</v>
      </c>
      <c r="B28" s="56">
        <v>0.0</v>
      </c>
      <c r="C28" s="48"/>
      <c r="D28" s="42"/>
      <c r="E28" s="42"/>
      <c r="F28" s="42"/>
      <c r="G28" s="42"/>
      <c r="H28" s="42"/>
      <c r="I28" s="6"/>
      <c r="J28" s="7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5.75" customHeight="1">
      <c r="A29" s="57" t="s">
        <v>55</v>
      </c>
      <c r="B29" s="58">
        <v>0.0</v>
      </c>
      <c r="C29" s="57"/>
      <c r="D29" s="42"/>
      <c r="E29" s="42"/>
      <c r="F29" s="42"/>
      <c r="G29" s="42"/>
      <c r="H29" s="42"/>
      <c r="I29" s="6"/>
      <c r="J29" s="7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5.75" customHeight="1">
      <c r="A30" s="47"/>
      <c r="B30" s="59"/>
      <c r="C30" s="60">
        <f>SUM(B26:B29)</f>
        <v>0</v>
      </c>
      <c r="D30" s="42"/>
      <c r="E30" s="42"/>
      <c r="F30" s="42"/>
      <c r="G30" s="42"/>
      <c r="H30" s="42"/>
      <c r="I30" s="6"/>
      <c r="J30" s="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5.75" customHeight="1">
      <c r="A31" s="52" t="s">
        <v>56</v>
      </c>
      <c r="B31" s="59"/>
      <c r="C31" s="48"/>
      <c r="D31" s="42"/>
      <c r="E31" s="42"/>
      <c r="F31" s="42"/>
      <c r="G31" s="42"/>
      <c r="H31" s="42"/>
      <c r="I31" s="6"/>
      <c r="J31" s="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5.75" customHeight="1">
      <c r="A32" s="54" t="s">
        <v>57</v>
      </c>
      <c r="B32" s="55">
        <v>0.0</v>
      </c>
      <c r="C32" s="48"/>
      <c r="D32" s="42"/>
      <c r="E32" s="42"/>
      <c r="F32" s="42"/>
      <c r="G32" s="42"/>
      <c r="H32" s="42"/>
      <c r="I32" s="6"/>
      <c r="J32" s="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5.75" customHeight="1">
      <c r="A33" s="57" t="s">
        <v>58</v>
      </c>
      <c r="B33" s="58">
        <v>0.0</v>
      </c>
      <c r="C33" s="57"/>
      <c r="D33" s="42"/>
      <c r="E33" s="42"/>
      <c r="F33" s="42"/>
      <c r="G33" s="42"/>
      <c r="H33" s="42"/>
      <c r="I33" s="6"/>
      <c r="J33" s="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5.75" customHeight="1">
      <c r="A34" s="47"/>
      <c r="B34" s="61"/>
      <c r="C34" s="60">
        <f>SUM(B32:B33)</f>
        <v>0</v>
      </c>
      <c r="D34" s="42"/>
      <c r="E34" s="42"/>
      <c r="F34" s="42"/>
      <c r="G34" s="42"/>
      <c r="H34" s="42"/>
      <c r="I34" s="6"/>
      <c r="J34" s="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5.75" customHeight="1">
      <c r="A35" s="53"/>
      <c r="B35" s="53"/>
      <c r="C35" s="53"/>
      <c r="D35" s="42"/>
      <c r="E35" s="42"/>
      <c r="F35" s="42"/>
      <c r="G35" s="42"/>
      <c r="H35" s="42"/>
      <c r="I35" s="6"/>
      <c r="J35" s="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5.75" customHeight="1">
      <c r="A36" s="52" t="s">
        <v>59</v>
      </c>
      <c r="B36" s="61"/>
      <c r="C36" s="62">
        <v>0.0</v>
      </c>
      <c r="D36" s="42"/>
      <c r="E36" s="42"/>
      <c r="F36" s="42"/>
      <c r="G36" s="42"/>
      <c r="H36" s="42"/>
      <c r="I36" s="6"/>
      <c r="J36" s="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5.75" customHeight="1">
      <c r="A37" s="6"/>
      <c r="B37" s="42"/>
      <c r="C37" s="42"/>
      <c r="D37" s="42"/>
      <c r="E37" s="42"/>
      <c r="F37" s="42"/>
      <c r="G37" s="42"/>
      <c r="H37" s="42"/>
      <c r="I37" s="6"/>
      <c r="J37" s="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5.75" customHeight="1">
      <c r="A38" s="46" t="s">
        <v>60</v>
      </c>
      <c r="D38" s="42"/>
      <c r="E38" s="42"/>
      <c r="F38" s="42"/>
      <c r="G38" s="42"/>
      <c r="H38" s="42"/>
      <c r="I38" s="6"/>
      <c r="J38" s="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5.75" customHeight="1">
      <c r="A39" s="6"/>
      <c r="B39" s="42"/>
      <c r="C39" s="42"/>
      <c r="D39" s="42"/>
      <c r="E39" s="42"/>
      <c r="F39" s="42"/>
      <c r="G39" s="42"/>
      <c r="H39" s="42"/>
      <c r="I39" s="6"/>
      <c r="J39" s="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5.75" customHeight="1">
      <c r="A40" s="44" t="s">
        <v>61</v>
      </c>
      <c r="B40" s="42"/>
      <c r="C40" s="63">
        <v>0.0</v>
      </c>
      <c r="D40" s="42"/>
      <c r="E40" s="42"/>
      <c r="F40" s="42"/>
      <c r="G40" s="42"/>
      <c r="H40" s="42"/>
      <c r="I40" s="6"/>
      <c r="J40" s="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5.75" customHeight="1">
      <c r="A41" s="44" t="s">
        <v>62</v>
      </c>
      <c r="B41" s="42"/>
      <c r="C41" s="64">
        <v>0.0</v>
      </c>
      <c r="D41" s="42"/>
      <c r="E41" s="42"/>
      <c r="F41" s="42"/>
      <c r="G41" s="42"/>
      <c r="H41" s="42"/>
      <c r="I41" s="6"/>
      <c r="J41" s="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5.75" customHeight="1">
      <c r="A42" s="6"/>
      <c r="B42" s="42"/>
      <c r="C42" s="42"/>
      <c r="D42" s="42"/>
      <c r="E42" s="42"/>
      <c r="F42" s="42"/>
      <c r="G42" s="42"/>
      <c r="H42" s="42"/>
      <c r="I42" s="6"/>
      <c r="J42" s="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5.75" customHeight="1">
      <c r="A43" s="6"/>
      <c r="B43" s="42"/>
      <c r="C43" s="42"/>
      <c r="D43" s="42"/>
      <c r="E43" s="42"/>
      <c r="F43" s="42"/>
      <c r="G43" s="42"/>
      <c r="H43" s="42"/>
      <c r="I43" s="6"/>
      <c r="J43" s="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5.75" customHeight="1">
      <c r="A44" s="6"/>
      <c r="B44" s="42"/>
      <c r="C44" s="42"/>
      <c r="D44" s="42"/>
      <c r="E44" s="42"/>
      <c r="F44" s="42"/>
      <c r="G44" s="42"/>
      <c r="H44" s="42"/>
      <c r="I44" s="6"/>
      <c r="J44" s="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5.75" customHeight="1">
      <c r="A45" s="6"/>
      <c r="B45" s="42"/>
      <c r="C45" s="42"/>
      <c r="D45" s="42"/>
      <c r="E45" s="42"/>
      <c r="F45" s="42"/>
      <c r="G45" s="42"/>
      <c r="H45" s="42"/>
      <c r="I45" s="6"/>
      <c r="J45" s="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5.75" customHeight="1">
      <c r="A46" s="6"/>
      <c r="B46" s="42"/>
      <c r="C46" s="42"/>
      <c r="D46" s="42"/>
      <c r="E46" s="42"/>
      <c r="F46" s="42"/>
      <c r="G46" s="42"/>
      <c r="H46" s="42"/>
      <c r="I46" s="6"/>
      <c r="J46" s="7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75" customHeight="1">
      <c r="A47" s="6"/>
      <c r="B47" s="42"/>
      <c r="C47" s="42"/>
      <c r="D47" s="42"/>
      <c r="E47" s="42"/>
      <c r="F47" s="42"/>
      <c r="G47" s="42"/>
      <c r="H47" s="42"/>
      <c r="I47" s="6"/>
      <c r="J47" s="7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5.75" customHeight="1">
      <c r="A48" s="6"/>
      <c r="B48" s="42"/>
      <c r="C48" s="42"/>
      <c r="D48" s="42"/>
      <c r="E48" s="42"/>
      <c r="F48" s="42"/>
      <c r="G48" s="42"/>
      <c r="H48" s="42"/>
      <c r="I48" s="6"/>
      <c r="J48" s="7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5.75" customHeight="1">
      <c r="A49" s="6"/>
      <c r="B49" s="42"/>
      <c r="C49" s="42"/>
      <c r="D49" s="42"/>
      <c r="E49" s="42"/>
      <c r="F49" s="42"/>
      <c r="G49" s="42"/>
      <c r="H49" s="42"/>
      <c r="I49" s="6"/>
      <c r="J49" s="7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5.75" customHeight="1">
      <c r="A50" s="6"/>
      <c r="B50" s="42"/>
      <c r="C50" s="42"/>
      <c r="D50" s="42"/>
      <c r="E50" s="42"/>
      <c r="F50" s="42"/>
      <c r="G50" s="42"/>
      <c r="H50" s="42"/>
      <c r="I50" s="6"/>
      <c r="J50" s="7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5.75" customHeight="1">
      <c r="A51" s="6"/>
      <c r="B51" s="42"/>
      <c r="C51" s="42"/>
      <c r="D51" s="42"/>
      <c r="E51" s="42"/>
      <c r="F51" s="42"/>
      <c r="G51" s="42"/>
      <c r="H51" s="42"/>
      <c r="I51" s="6"/>
      <c r="J51" s="7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5.75" customHeight="1">
      <c r="A52" s="6"/>
      <c r="B52" s="42"/>
      <c r="C52" s="42"/>
      <c r="D52" s="42"/>
      <c r="E52" s="42"/>
      <c r="F52" s="42"/>
      <c r="G52" s="42"/>
      <c r="H52" s="42"/>
      <c r="I52" s="6"/>
      <c r="J52" s="7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5.75" customHeight="1">
      <c r="A53" s="6"/>
      <c r="B53" s="42"/>
      <c r="C53" s="42"/>
      <c r="D53" s="42"/>
      <c r="E53" s="42"/>
      <c r="F53" s="42"/>
      <c r="G53" s="42"/>
      <c r="H53" s="42"/>
      <c r="I53" s="6"/>
      <c r="J53" s="7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5.75" customHeight="1">
      <c r="A54" s="6"/>
      <c r="B54" s="42"/>
      <c r="C54" s="42"/>
      <c r="D54" s="42"/>
      <c r="E54" s="42"/>
      <c r="F54" s="42"/>
      <c r="G54" s="42"/>
      <c r="H54" s="42"/>
      <c r="I54" s="6"/>
      <c r="J54" s="7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5.75" customHeight="1">
      <c r="A55" s="6"/>
      <c r="B55" s="42"/>
      <c r="C55" s="42"/>
      <c r="D55" s="42"/>
      <c r="E55" s="42"/>
      <c r="F55" s="42"/>
      <c r="G55" s="42"/>
      <c r="H55" s="42"/>
      <c r="I55" s="6"/>
      <c r="J55" s="7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5.75" customHeight="1">
      <c r="A56" s="6"/>
      <c r="B56" s="42"/>
      <c r="C56" s="42"/>
      <c r="D56" s="42"/>
      <c r="E56" s="42"/>
      <c r="F56" s="42"/>
      <c r="G56" s="42"/>
      <c r="H56" s="42"/>
      <c r="I56" s="6"/>
      <c r="J56" s="7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5.75" customHeight="1">
      <c r="A57" s="6"/>
      <c r="B57" s="42"/>
      <c r="C57" s="42"/>
      <c r="D57" s="42"/>
      <c r="E57" s="42"/>
      <c r="F57" s="42"/>
      <c r="G57" s="42"/>
      <c r="H57" s="42"/>
      <c r="I57" s="6"/>
      <c r="J57" s="7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5.75" customHeight="1">
      <c r="A58" s="6"/>
      <c r="B58" s="42"/>
      <c r="C58" s="42"/>
      <c r="D58" s="42"/>
      <c r="E58" s="42"/>
      <c r="F58" s="42"/>
      <c r="G58" s="42"/>
      <c r="H58" s="42"/>
      <c r="I58" s="6"/>
      <c r="J58" s="7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5.75" customHeight="1">
      <c r="A59" s="6"/>
      <c r="B59" s="42"/>
      <c r="C59" s="42"/>
      <c r="D59" s="42"/>
      <c r="E59" s="42"/>
      <c r="F59" s="42"/>
      <c r="G59" s="42"/>
      <c r="H59" s="42"/>
      <c r="I59" s="6"/>
      <c r="J59" s="7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5.75" customHeight="1">
      <c r="A60" s="6"/>
      <c r="B60" s="42"/>
      <c r="C60" s="42"/>
      <c r="D60" s="42"/>
      <c r="E60" s="42"/>
      <c r="F60" s="42"/>
      <c r="G60" s="42"/>
      <c r="H60" s="42"/>
      <c r="I60" s="6"/>
      <c r="J60" s="7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5.75" customHeight="1">
      <c r="A61" s="6"/>
      <c r="B61" s="42"/>
      <c r="C61" s="42"/>
      <c r="D61" s="42"/>
      <c r="E61" s="42"/>
      <c r="F61" s="42"/>
      <c r="G61" s="42"/>
      <c r="H61" s="42"/>
      <c r="I61" s="6"/>
      <c r="J61" s="7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5.75" customHeight="1">
      <c r="A62" s="6"/>
      <c r="B62" s="42"/>
      <c r="C62" s="42"/>
      <c r="D62" s="42"/>
      <c r="E62" s="42"/>
      <c r="F62" s="42"/>
      <c r="G62" s="42"/>
      <c r="H62" s="42"/>
      <c r="I62" s="6"/>
      <c r="J62" s="7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5.75" customHeight="1">
      <c r="A63" s="6"/>
      <c r="B63" s="42"/>
      <c r="C63" s="42"/>
      <c r="D63" s="42"/>
      <c r="E63" s="42"/>
      <c r="F63" s="42"/>
      <c r="G63" s="42"/>
      <c r="H63" s="42"/>
      <c r="I63" s="6"/>
      <c r="J63" s="7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5.75" customHeight="1">
      <c r="A64" s="6"/>
      <c r="B64" s="42"/>
      <c r="C64" s="42"/>
      <c r="D64" s="42"/>
      <c r="E64" s="42"/>
      <c r="F64" s="42"/>
      <c r="G64" s="42"/>
      <c r="H64" s="42"/>
      <c r="I64" s="6"/>
      <c r="J64" s="7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5.75" customHeight="1">
      <c r="A65" s="6"/>
      <c r="B65" s="42"/>
      <c r="C65" s="42"/>
      <c r="D65" s="42"/>
      <c r="E65" s="42"/>
      <c r="F65" s="42"/>
      <c r="G65" s="42"/>
      <c r="H65" s="42"/>
      <c r="I65" s="6"/>
      <c r="J65" s="7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5.75" customHeight="1">
      <c r="A66" s="6"/>
      <c r="B66" s="42"/>
      <c r="C66" s="42"/>
      <c r="D66" s="42"/>
      <c r="E66" s="42"/>
      <c r="F66" s="42"/>
      <c r="G66" s="42"/>
      <c r="H66" s="42"/>
      <c r="I66" s="6"/>
      <c r="J66" s="7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5.75" customHeight="1">
      <c r="A67" s="6"/>
      <c r="B67" s="42"/>
      <c r="C67" s="42"/>
      <c r="D67" s="42"/>
      <c r="E67" s="42"/>
      <c r="F67" s="42"/>
      <c r="G67" s="42"/>
      <c r="H67" s="42"/>
      <c r="I67" s="6"/>
      <c r="J67" s="7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5.75" customHeight="1">
      <c r="A68" s="6"/>
      <c r="B68" s="42"/>
      <c r="C68" s="42"/>
      <c r="D68" s="42"/>
      <c r="E68" s="42"/>
      <c r="F68" s="42"/>
      <c r="G68" s="42"/>
      <c r="H68" s="42"/>
      <c r="I68" s="6"/>
      <c r="J68" s="7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5.75" customHeight="1">
      <c r="A69" s="6"/>
      <c r="B69" s="42"/>
      <c r="C69" s="42"/>
      <c r="D69" s="42"/>
      <c r="E69" s="42"/>
      <c r="F69" s="42"/>
      <c r="G69" s="42"/>
      <c r="H69" s="42"/>
      <c r="I69" s="6"/>
      <c r="J69" s="7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5.75" customHeight="1">
      <c r="A70" s="6"/>
      <c r="B70" s="42"/>
      <c r="C70" s="42"/>
      <c r="D70" s="42"/>
      <c r="E70" s="42"/>
      <c r="F70" s="42"/>
      <c r="G70" s="42"/>
      <c r="H70" s="42"/>
      <c r="I70" s="6"/>
      <c r="J70" s="7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5.75" customHeight="1">
      <c r="A71" s="6"/>
      <c r="B71" s="42"/>
      <c r="C71" s="42"/>
      <c r="D71" s="42"/>
      <c r="E71" s="42"/>
      <c r="F71" s="42"/>
      <c r="G71" s="42"/>
      <c r="H71" s="42"/>
      <c r="I71" s="6"/>
      <c r="J71" s="7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5.75" customHeight="1">
      <c r="A72" s="6"/>
      <c r="B72" s="42"/>
      <c r="C72" s="42"/>
      <c r="D72" s="42"/>
      <c r="E72" s="42"/>
      <c r="F72" s="42"/>
      <c r="G72" s="42"/>
      <c r="H72" s="42"/>
      <c r="I72" s="6"/>
      <c r="J72" s="7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5.75" customHeight="1">
      <c r="A73" s="6"/>
      <c r="B73" s="42"/>
      <c r="C73" s="42"/>
      <c r="D73" s="42"/>
      <c r="E73" s="42"/>
      <c r="F73" s="42"/>
      <c r="G73" s="42"/>
      <c r="H73" s="42"/>
      <c r="I73" s="6"/>
      <c r="J73" s="7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5.75" customHeight="1">
      <c r="A74" s="6"/>
      <c r="B74" s="42"/>
      <c r="C74" s="42"/>
      <c r="D74" s="42"/>
      <c r="E74" s="42"/>
      <c r="F74" s="42"/>
      <c r="G74" s="42"/>
      <c r="H74" s="42"/>
      <c r="I74" s="6"/>
      <c r="J74" s="7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5.75" customHeight="1">
      <c r="A75" s="6"/>
      <c r="B75" s="42"/>
      <c r="C75" s="42"/>
      <c r="D75" s="42"/>
      <c r="E75" s="42"/>
      <c r="F75" s="42"/>
      <c r="G75" s="42"/>
      <c r="H75" s="42"/>
      <c r="I75" s="6"/>
      <c r="J75" s="7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5.75" customHeight="1">
      <c r="A76" s="6"/>
      <c r="B76" s="42"/>
      <c r="C76" s="42"/>
      <c r="D76" s="42"/>
      <c r="E76" s="42"/>
      <c r="F76" s="42"/>
      <c r="G76" s="42"/>
      <c r="H76" s="42"/>
      <c r="I76" s="6"/>
      <c r="J76" s="7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5.75" customHeight="1">
      <c r="A77" s="6"/>
      <c r="B77" s="42"/>
      <c r="C77" s="42"/>
      <c r="D77" s="42"/>
      <c r="E77" s="42"/>
      <c r="F77" s="42"/>
      <c r="G77" s="42"/>
      <c r="H77" s="42"/>
      <c r="I77" s="6"/>
      <c r="J77" s="7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5.75" customHeight="1">
      <c r="A78" s="6"/>
      <c r="B78" s="42"/>
      <c r="C78" s="42"/>
      <c r="D78" s="42"/>
      <c r="E78" s="42"/>
      <c r="F78" s="42"/>
      <c r="G78" s="42"/>
      <c r="H78" s="42"/>
      <c r="I78" s="6"/>
      <c r="J78" s="7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customHeight="1">
      <c r="A79" s="6"/>
      <c r="B79" s="42"/>
      <c r="C79" s="42"/>
      <c r="D79" s="42"/>
      <c r="E79" s="42"/>
      <c r="F79" s="42"/>
      <c r="G79" s="42"/>
      <c r="H79" s="42"/>
      <c r="I79" s="6"/>
      <c r="J79" s="7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customHeight="1">
      <c r="A80" s="6"/>
      <c r="B80" s="42"/>
      <c r="C80" s="42"/>
      <c r="D80" s="42"/>
      <c r="E80" s="42"/>
      <c r="F80" s="42"/>
      <c r="G80" s="42"/>
      <c r="H80" s="42"/>
      <c r="I80" s="6"/>
      <c r="J80" s="7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6"/>
      <c r="B81" s="42"/>
      <c r="C81" s="42"/>
      <c r="D81" s="42"/>
      <c r="E81" s="42"/>
      <c r="F81" s="42"/>
      <c r="G81" s="42"/>
      <c r="H81" s="42"/>
      <c r="I81" s="6"/>
      <c r="J81" s="7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5.75" customHeight="1">
      <c r="A82" s="6"/>
      <c r="B82" s="42"/>
      <c r="C82" s="42"/>
      <c r="D82" s="42"/>
      <c r="E82" s="42"/>
      <c r="F82" s="42"/>
      <c r="G82" s="42"/>
      <c r="H82" s="42"/>
      <c r="I82" s="6"/>
      <c r="J82" s="7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5.75" customHeight="1">
      <c r="A83" s="6"/>
      <c r="B83" s="42"/>
      <c r="C83" s="42"/>
      <c r="D83" s="42"/>
      <c r="E83" s="42"/>
      <c r="F83" s="42"/>
      <c r="G83" s="42"/>
      <c r="H83" s="42"/>
      <c r="I83" s="6"/>
      <c r="J83" s="7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5.75" customHeight="1">
      <c r="A84" s="6"/>
      <c r="B84" s="42"/>
      <c r="C84" s="42"/>
      <c r="D84" s="42"/>
      <c r="E84" s="42"/>
      <c r="F84" s="42"/>
      <c r="G84" s="42"/>
      <c r="H84" s="42"/>
      <c r="I84" s="6"/>
      <c r="J84" s="7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5.75" customHeight="1">
      <c r="A85" s="6"/>
      <c r="B85" s="42"/>
      <c r="C85" s="42"/>
      <c r="D85" s="42"/>
      <c r="E85" s="42"/>
      <c r="F85" s="42"/>
      <c r="G85" s="42"/>
      <c r="H85" s="42"/>
      <c r="I85" s="6"/>
      <c r="J85" s="7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5.75" customHeight="1">
      <c r="A86" s="6"/>
      <c r="B86" s="42"/>
      <c r="C86" s="42"/>
      <c r="D86" s="42"/>
      <c r="E86" s="42"/>
      <c r="F86" s="42"/>
      <c r="G86" s="42"/>
      <c r="H86" s="42"/>
      <c r="I86" s="6"/>
      <c r="J86" s="7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5.75" customHeight="1">
      <c r="A87" s="6"/>
      <c r="B87" s="42"/>
      <c r="C87" s="42"/>
      <c r="D87" s="42"/>
      <c r="E87" s="42"/>
      <c r="F87" s="42"/>
      <c r="G87" s="42"/>
      <c r="H87" s="42"/>
      <c r="I87" s="6"/>
      <c r="J87" s="7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customHeight="1">
      <c r="A88" s="6"/>
      <c r="B88" s="42"/>
      <c r="C88" s="42"/>
      <c r="D88" s="42"/>
      <c r="E88" s="42"/>
      <c r="F88" s="42"/>
      <c r="G88" s="42"/>
      <c r="H88" s="42"/>
      <c r="I88" s="6"/>
      <c r="J88" s="7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customHeight="1">
      <c r="A89" s="6"/>
      <c r="B89" s="42"/>
      <c r="C89" s="42"/>
      <c r="D89" s="42"/>
      <c r="E89" s="42"/>
      <c r="F89" s="42"/>
      <c r="G89" s="42"/>
      <c r="H89" s="42"/>
      <c r="I89" s="6"/>
      <c r="J89" s="7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5.75" customHeight="1">
      <c r="A90" s="6"/>
      <c r="B90" s="42"/>
      <c r="C90" s="42"/>
      <c r="D90" s="42"/>
      <c r="E90" s="42"/>
      <c r="F90" s="42"/>
      <c r="G90" s="42"/>
      <c r="H90" s="42"/>
      <c r="I90" s="6"/>
      <c r="J90" s="7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customHeight="1">
      <c r="A91" s="6"/>
      <c r="B91" s="42"/>
      <c r="C91" s="42"/>
      <c r="D91" s="42"/>
      <c r="E91" s="42"/>
      <c r="F91" s="42"/>
      <c r="G91" s="42"/>
      <c r="H91" s="42"/>
      <c r="I91" s="6"/>
      <c r="J91" s="7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customHeight="1">
      <c r="A92" s="6"/>
      <c r="B92" s="42"/>
      <c r="C92" s="42"/>
      <c r="D92" s="42"/>
      <c r="E92" s="42"/>
      <c r="F92" s="42"/>
      <c r="G92" s="42"/>
      <c r="H92" s="42"/>
      <c r="I92" s="6"/>
      <c r="J92" s="7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customHeight="1">
      <c r="A93" s="6"/>
      <c r="B93" s="42"/>
      <c r="C93" s="42"/>
      <c r="D93" s="42"/>
      <c r="E93" s="42"/>
      <c r="F93" s="42"/>
      <c r="G93" s="42"/>
      <c r="H93" s="42"/>
      <c r="I93" s="6"/>
      <c r="J93" s="7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customHeight="1">
      <c r="A94" s="6"/>
      <c r="B94" s="42"/>
      <c r="C94" s="42"/>
      <c r="D94" s="42"/>
      <c r="E94" s="42"/>
      <c r="F94" s="42"/>
      <c r="G94" s="42"/>
      <c r="H94" s="42"/>
      <c r="I94" s="6"/>
      <c r="J94" s="7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5.75" customHeight="1">
      <c r="A95" s="6"/>
      <c r="B95" s="42"/>
      <c r="C95" s="42"/>
      <c r="D95" s="42"/>
      <c r="E95" s="42"/>
      <c r="F95" s="42"/>
      <c r="G95" s="42"/>
      <c r="H95" s="42"/>
      <c r="I95" s="6"/>
      <c r="J95" s="7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5.75" customHeight="1">
      <c r="A96" s="6"/>
      <c r="B96" s="42"/>
      <c r="C96" s="42"/>
      <c r="D96" s="42"/>
      <c r="E96" s="42"/>
      <c r="F96" s="42"/>
      <c r="G96" s="42"/>
      <c r="H96" s="42"/>
      <c r="I96" s="6"/>
      <c r="J96" s="7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5.75" customHeight="1">
      <c r="A97" s="6"/>
      <c r="B97" s="42"/>
      <c r="C97" s="42"/>
      <c r="D97" s="42"/>
      <c r="E97" s="42"/>
      <c r="F97" s="42"/>
      <c r="G97" s="42"/>
      <c r="H97" s="42"/>
      <c r="I97" s="6"/>
      <c r="J97" s="7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5.75" customHeight="1">
      <c r="A98" s="6"/>
      <c r="B98" s="42"/>
      <c r="C98" s="42"/>
      <c r="D98" s="42"/>
      <c r="E98" s="42"/>
      <c r="F98" s="42"/>
      <c r="G98" s="42"/>
      <c r="H98" s="42"/>
      <c r="I98" s="6"/>
      <c r="J98" s="7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5.75" customHeight="1">
      <c r="A99" s="6"/>
      <c r="B99" s="42"/>
      <c r="C99" s="42"/>
      <c r="D99" s="42"/>
      <c r="E99" s="42"/>
      <c r="F99" s="42"/>
      <c r="G99" s="42"/>
      <c r="H99" s="42"/>
      <c r="I99" s="6"/>
      <c r="J99" s="7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5.75" customHeight="1">
      <c r="A100" s="6"/>
      <c r="B100" s="42"/>
      <c r="C100" s="42"/>
      <c r="D100" s="42"/>
      <c r="E100" s="42"/>
      <c r="F100" s="42"/>
      <c r="G100" s="42"/>
      <c r="H100" s="42"/>
      <c r="I100" s="6"/>
      <c r="J100" s="7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5.75" customHeight="1">
      <c r="A101" s="6"/>
      <c r="B101" s="42"/>
      <c r="C101" s="42"/>
      <c r="D101" s="42"/>
      <c r="E101" s="42"/>
      <c r="F101" s="42"/>
      <c r="G101" s="42"/>
      <c r="H101" s="42"/>
      <c r="I101" s="6"/>
      <c r="J101" s="7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5.75" customHeight="1">
      <c r="A102" s="6"/>
      <c r="B102" s="42"/>
      <c r="C102" s="42"/>
      <c r="D102" s="42"/>
      <c r="E102" s="42"/>
      <c r="F102" s="42"/>
      <c r="G102" s="42"/>
      <c r="H102" s="42"/>
      <c r="I102" s="6"/>
      <c r="J102" s="7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5.75" customHeight="1">
      <c r="A103" s="6"/>
      <c r="B103" s="42"/>
      <c r="C103" s="42"/>
      <c r="D103" s="42"/>
      <c r="E103" s="42"/>
      <c r="F103" s="42"/>
      <c r="G103" s="42"/>
      <c r="H103" s="42"/>
      <c r="I103" s="6"/>
      <c r="J103" s="7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5.75" customHeight="1">
      <c r="A104" s="6"/>
      <c r="B104" s="42"/>
      <c r="C104" s="42"/>
      <c r="D104" s="42"/>
      <c r="E104" s="42"/>
      <c r="F104" s="42"/>
      <c r="G104" s="42"/>
      <c r="H104" s="42"/>
      <c r="I104" s="6"/>
      <c r="J104" s="7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5.75" customHeight="1">
      <c r="A105" s="6"/>
      <c r="B105" s="42"/>
      <c r="C105" s="42"/>
      <c r="D105" s="42"/>
      <c r="E105" s="42"/>
      <c r="F105" s="42"/>
      <c r="G105" s="42"/>
      <c r="H105" s="42"/>
      <c r="I105" s="6"/>
      <c r="J105" s="7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5.75" customHeight="1">
      <c r="A106" s="6"/>
      <c r="B106" s="42"/>
      <c r="C106" s="42"/>
      <c r="D106" s="42"/>
      <c r="E106" s="42"/>
      <c r="F106" s="42"/>
      <c r="G106" s="42"/>
      <c r="H106" s="42"/>
      <c r="I106" s="6"/>
      <c r="J106" s="7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5.75" customHeight="1">
      <c r="A107" s="6"/>
      <c r="B107" s="42"/>
      <c r="C107" s="42"/>
      <c r="D107" s="42"/>
      <c r="E107" s="42"/>
      <c r="F107" s="42"/>
      <c r="G107" s="42"/>
      <c r="H107" s="42"/>
      <c r="I107" s="6"/>
      <c r="J107" s="7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5.75" customHeight="1">
      <c r="A108" s="6"/>
      <c r="B108" s="42"/>
      <c r="C108" s="42"/>
      <c r="D108" s="42"/>
      <c r="E108" s="42"/>
      <c r="F108" s="42"/>
      <c r="G108" s="42"/>
      <c r="H108" s="42"/>
      <c r="I108" s="6"/>
      <c r="J108" s="7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5.75" customHeight="1">
      <c r="A109" s="6"/>
      <c r="B109" s="42"/>
      <c r="C109" s="42"/>
      <c r="D109" s="42"/>
      <c r="E109" s="42"/>
      <c r="F109" s="42"/>
      <c r="G109" s="42"/>
      <c r="H109" s="42"/>
      <c r="I109" s="6"/>
      <c r="J109" s="7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5.75" customHeight="1">
      <c r="A110" s="6"/>
      <c r="B110" s="42"/>
      <c r="C110" s="42"/>
      <c r="D110" s="42"/>
      <c r="E110" s="42"/>
      <c r="F110" s="42"/>
      <c r="G110" s="42"/>
      <c r="H110" s="42"/>
      <c r="I110" s="6"/>
      <c r="J110" s="7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5.75" customHeight="1">
      <c r="A111" s="6"/>
      <c r="B111" s="42"/>
      <c r="C111" s="42"/>
      <c r="D111" s="42"/>
      <c r="E111" s="42"/>
      <c r="F111" s="42"/>
      <c r="G111" s="42"/>
      <c r="H111" s="42"/>
      <c r="I111" s="6"/>
      <c r="J111" s="7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5.75" customHeight="1">
      <c r="A112" s="6"/>
      <c r="B112" s="42"/>
      <c r="C112" s="42"/>
      <c r="D112" s="42"/>
      <c r="E112" s="42"/>
      <c r="F112" s="42"/>
      <c r="G112" s="42"/>
      <c r="H112" s="42"/>
      <c r="I112" s="6"/>
      <c r="J112" s="7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5.75" customHeight="1">
      <c r="A113" s="6"/>
      <c r="B113" s="42"/>
      <c r="C113" s="42"/>
      <c r="D113" s="42"/>
      <c r="E113" s="42"/>
      <c r="F113" s="42"/>
      <c r="G113" s="42"/>
      <c r="H113" s="42"/>
      <c r="I113" s="6"/>
      <c r="J113" s="7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5.75" customHeight="1">
      <c r="A114" s="6"/>
      <c r="B114" s="42"/>
      <c r="C114" s="42"/>
      <c r="D114" s="42"/>
      <c r="E114" s="42"/>
      <c r="F114" s="42"/>
      <c r="G114" s="42"/>
      <c r="H114" s="42"/>
      <c r="I114" s="6"/>
      <c r="J114" s="7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5.75" customHeight="1">
      <c r="A115" s="6"/>
      <c r="B115" s="42"/>
      <c r="C115" s="42"/>
      <c r="D115" s="42"/>
      <c r="E115" s="42"/>
      <c r="F115" s="42"/>
      <c r="G115" s="42"/>
      <c r="H115" s="42"/>
      <c r="I115" s="6"/>
      <c r="J115" s="7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5.75" customHeight="1">
      <c r="A116" s="6"/>
      <c r="B116" s="42"/>
      <c r="C116" s="42"/>
      <c r="D116" s="42"/>
      <c r="E116" s="42"/>
      <c r="F116" s="42"/>
      <c r="G116" s="42"/>
      <c r="H116" s="42"/>
      <c r="I116" s="6"/>
      <c r="J116" s="7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5.75" customHeight="1">
      <c r="A117" s="6"/>
      <c r="B117" s="42"/>
      <c r="C117" s="42"/>
      <c r="D117" s="42"/>
      <c r="E117" s="42"/>
      <c r="F117" s="42"/>
      <c r="G117" s="42"/>
      <c r="H117" s="42"/>
      <c r="I117" s="6"/>
      <c r="J117" s="7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5.75" customHeight="1">
      <c r="A118" s="6"/>
      <c r="B118" s="42"/>
      <c r="C118" s="42"/>
      <c r="D118" s="42"/>
      <c r="E118" s="42"/>
      <c r="F118" s="42"/>
      <c r="G118" s="42"/>
      <c r="H118" s="42"/>
      <c r="I118" s="6"/>
      <c r="J118" s="7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5.75" customHeight="1">
      <c r="A119" s="6"/>
      <c r="B119" s="42"/>
      <c r="C119" s="42"/>
      <c r="D119" s="42"/>
      <c r="E119" s="42"/>
      <c r="F119" s="42"/>
      <c r="G119" s="42"/>
      <c r="H119" s="42"/>
      <c r="I119" s="6"/>
      <c r="J119" s="7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5.75" customHeight="1">
      <c r="A120" s="6"/>
      <c r="B120" s="42"/>
      <c r="C120" s="42"/>
      <c r="D120" s="42"/>
      <c r="E120" s="42"/>
      <c r="F120" s="42"/>
      <c r="G120" s="42"/>
      <c r="H120" s="42"/>
      <c r="I120" s="6"/>
      <c r="J120" s="7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5.75" customHeight="1">
      <c r="A121" s="6"/>
      <c r="B121" s="42"/>
      <c r="C121" s="42"/>
      <c r="D121" s="42"/>
      <c r="E121" s="42"/>
      <c r="F121" s="42"/>
      <c r="G121" s="42"/>
      <c r="H121" s="42"/>
      <c r="I121" s="6"/>
      <c r="J121" s="7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5.75" customHeight="1">
      <c r="A122" s="6"/>
      <c r="B122" s="42"/>
      <c r="C122" s="42"/>
      <c r="D122" s="42"/>
      <c r="E122" s="42"/>
      <c r="F122" s="42"/>
      <c r="G122" s="42"/>
      <c r="H122" s="42"/>
      <c r="I122" s="6"/>
      <c r="J122" s="7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5.75" customHeight="1">
      <c r="A123" s="6"/>
      <c r="B123" s="42"/>
      <c r="C123" s="42"/>
      <c r="D123" s="42"/>
      <c r="E123" s="42"/>
      <c r="F123" s="42"/>
      <c r="G123" s="42"/>
      <c r="H123" s="42"/>
      <c r="I123" s="6"/>
      <c r="J123" s="7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5.75" customHeight="1">
      <c r="A124" s="6"/>
      <c r="B124" s="42"/>
      <c r="C124" s="42"/>
      <c r="D124" s="42"/>
      <c r="E124" s="42"/>
      <c r="F124" s="42"/>
      <c r="G124" s="42"/>
      <c r="H124" s="42"/>
      <c r="I124" s="6"/>
      <c r="J124" s="7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5.75" customHeight="1">
      <c r="A125" s="6"/>
      <c r="B125" s="42"/>
      <c r="C125" s="42"/>
      <c r="D125" s="42"/>
      <c r="E125" s="42"/>
      <c r="F125" s="42"/>
      <c r="G125" s="42"/>
      <c r="H125" s="42"/>
      <c r="I125" s="6"/>
      <c r="J125" s="7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5.75" customHeight="1">
      <c r="A126" s="6"/>
      <c r="B126" s="42"/>
      <c r="C126" s="42"/>
      <c r="D126" s="42"/>
      <c r="E126" s="42"/>
      <c r="F126" s="42"/>
      <c r="G126" s="42"/>
      <c r="H126" s="42"/>
      <c r="I126" s="6"/>
      <c r="J126" s="7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5.75" customHeight="1">
      <c r="A127" s="6"/>
      <c r="B127" s="42"/>
      <c r="C127" s="42"/>
      <c r="D127" s="42"/>
      <c r="E127" s="42"/>
      <c r="F127" s="42"/>
      <c r="G127" s="42"/>
      <c r="H127" s="42"/>
      <c r="I127" s="6"/>
      <c r="J127" s="7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5.75" customHeight="1">
      <c r="A128" s="6"/>
      <c r="B128" s="42"/>
      <c r="C128" s="42"/>
      <c r="D128" s="42"/>
      <c r="E128" s="42"/>
      <c r="F128" s="42"/>
      <c r="G128" s="42"/>
      <c r="H128" s="42"/>
      <c r="I128" s="6"/>
      <c r="J128" s="7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5.75" customHeight="1">
      <c r="A129" s="6"/>
      <c r="B129" s="42"/>
      <c r="C129" s="42"/>
      <c r="D129" s="42"/>
      <c r="E129" s="42"/>
      <c r="F129" s="42"/>
      <c r="G129" s="42"/>
      <c r="H129" s="42"/>
      <c r="I129" s="6"/>
      <c r="J129" s="7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5.75" customHeight="1">
      <c r="A130" s="6"/>
      <c r="B130" s="42"/>
      <c r="C130" s="42"/>
      <c r="D130" s="42"/>
      <c r="E130" s="42"/>
      <c r="F130" s="42"/>
      <c r="G130" s="42"/>
      <c r="H130" s="42"/>
      <c r="I130" s="6"/>
      <c r="J130" s="7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5.75" customHeight="1">
      <c r="A131" s="6"/>
      <c r="B131" s="42"/>
      <c r="C131" s="42"/>
      <c r="D131" s="42"/>
      <c r="E131" s="42"/>
      <c r="F131" s="42"/>
      <c r="G131" s="42"/>
      <c r="H131" s="42"/>
      <c r="I131" s="6"/>
      <c r="J131" s="7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5.75" customHeight="1">
      <c r="A132" s="6"/>
      <c r="B132" s="42"/>
      <c r="C132" s="42"/>
      <c r="D132" s="42"/>
      <c r="E132" s="42"/>
      <c r="F132" s="42"/>
      <c r="G132" s="42"/>
      <c r="H132" s="42"/>
      <c r="I132" s="6"/>
      <c r="J132" s="7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5.75" customHeight="1">
      <c r="A133" s="6"/>
      <c r="B133" s="42"/>
      <c r="C133" s="42"/>
      <c r="D133" s="42"/>
      <c r="E133" s="42"/>
      <c r="F133" s="42"/>
      <c r="G133" s="42"/>
      <c r="H133" s="42"/>
      <c r="I133" s="6"/>
      <c r="J133" s="7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5.75" customHeight="1">
      <c r="A134" s="6"/>
      <c r="B134" s="42"/>
      <c r="C134" s="42"/>
      <c r="D134" s="42"/>
      <c r="E134" s="42"/>
      <c r="F134" s="42"/>
      <c r="G134" s="42"/>
      <c r="H134" s="42"/>
      <c r="I134" s="6"/>
      <c r="J134" s="7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5.75" customHeight="1">
      <c r="A135" s="6"/>
      <c r="B135" s="42"/>
      <c r="C135" s="42"/>
      <c r="D135" s="42"/>
      <c r="E135" s="42"/>
      <c r="F135" s="42"/>
      <c r="G135" s="42"/>
      <c r="H135" s="42"/>
      <c r="I135" s="6"/>
      <c r="J135" s="7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5.75" customHeight="1">
      <c r="A136" s="6"/>
      <c r="B136" s="42"/>
      <c r="C136" s="42"/>
      <c r="D136" s="42"/>
      <c r="E136" s="42"/>
      <c r="F136" s="42"/>
      <c r="G136" s="42"/>
      <c r="H136" s="42"/>
      <c r="I136" s="6"/>
      <c r="J136" s="7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5.75" customHeight="1">
      <c r="A137" s="6"/>
      <c r="B137" s="42"/>
      <c r="C137" s="42"/>
      <c r="D137" s="42"/>
      <c r="E137" s="42"/>
      <c r="F137" s="42"/>
      <c r="G137" s="42"/>
      <c r="H137" s="42"/>
      <c r="I137" s="6"/>
      <c r="J137" s="7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5.75" customHeight="1">
      <c r="A138" s="6"/>
      <c r="B138" s="42"/>
      <c r="C138" s="42"/>
      <c r="D138" s="42"/>
      <c r="E138" s="42"/>
      <c r="F138" s="42"/>
      <c r="G138" s="42"/>
      <c r="H138" s="42"/>
      <c r="I138" s="6"/>
      <c r="J138" s="7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5.75" customHeight="1">
      <c r="A139" s="6"/>
      <c r="B139" s="42"/>
      <c r="C139" s="42"/>
      <c r="D139" s="42"/>
      <c r="E139" s="42"/>
      <c r="F139" s="42"/>
      <c r="G139" s="42"/>
      <c r="H139" s="42"/>
      <c r="I139" s="6"/>
      <c r="J139" s="7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5.75" customHeight="1">
      <c r="A140" s="6"/>
      <c r="B140" s="42"/>
      <c r="C140" s="42"/>
      <c r="D140" s="42"/>
      <c r="E140" s="42"/>
      <c r="F140" s="42"/>
      <c r="G140" s="42"/>
      <c r="H140" s="42"/>
      <c r="I140" s="6"/>
      <c r="J140" s="7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5.75" customHeight="1">
      <c r="A141" s="6"/>
      <c r="B141" s="42"/>
      <c r="C141" s="42"/>
      <c r="D141" s="42"/>
      <c r="E141" s="42"/>
      <c r="F141" s="42"/>
      <c r="G141" s="42"/>
      <c r="H141" s="42"/>
      <c r="I141" s="6"/>
      <c r="J141" s="7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5.75" customHeight="1">
      <c r="A142" s="6"/>
      <c r="B142" s="42"/>
      <c r="C142" s="42"/>
      <c r="D142" s="42"/>
      <c r="E142" s="42"/>
      <c r="F142" s="42"/>
      <c r="G142" s="42"/>
      <c r="H142" s="42"/>
      <c r="I142" s="6"/>
      <c r="J142" s="7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5.75" customHeight="1">
      <c r="A143" s="6"/>
      <c r="B143" s="42"/>
      <c r="C143" s="42"/>
      <c r="D143" s="42"/>
      <c r="E143" s="42"/>
      <c r="F143" s="42"/>
      <c r="G143" s="42"/>
      <c r="H143" s="42"/>
      <c r="I143" s="6"/>
      <c r="J143" s="7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5.75" customHeight="1">
      <c r="A144" s="6"/>
      <c r="B144" s="42"/>
      <c r="C144" s="42"/>
      <c r="D144" s="42"/>
      <c r="E144" s="42"/>
      <c r="F144" s="42"/>
      <c r="G144" s="42"/>
      <c r="H144" s="42"/>
      <c r="I144" s="6"/>
      <c r="J144" s="7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5.75" customHeight="1">
      <c r="A145" s="6"/>
      <c r="B145" s="42"/>
      <c r="C145" s="42"/>
      <c r="D145" s="42"/>
      <c r="E145" s="42"/>
      <c r="F145" s="42"/>
      <c r="G145" s="42"/>
      <c r="H145" s="42"/>
      <c r="I145" s="6"/>
      <c r="J145" s="7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5.75" customHeight="1">
      <c r="A146" s="6"/>
      <c r="B146" s="42"/>
      <c r="C146" s="42"/>
      <c r="D146" s="42"/>
      <c r="E146" s="42"/>
      <c r="F146" s="42"/>
      <c r="G146" s="42"/>
      <c r="H146" s="42"/>
      <c r="I146" s="6"/>
      <c r="J146" s="7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5.75" customHeight="1">
      <c r="A147" s="6"/>
      <c r="B147" s="42"/>
      <c r="C147" s="42"/>
      <c r="D147" s="42"/>
      <c r="E147" s="42"/>
      <c r="F147" s="42"/>
      <c r="G147" s="42"/>
      <c r="H147" s="42"/>
      <c r="I147" s="6"/>
      <c r="J147" s="7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5.75" customHeight="1">
      <c r="A148" s="6"/>
      <c r="B148" s="42"/>
      <c r="C148" s="42"/>
      <c r="D148" s="42"/>
      <c r="E148" s="42"/>
      <c r="F148" s="42"/>
      <c r="G148" s="42"/>
      <c r="H148" s="42"/>
      <c r="I148" s="6"/>
      <c r="J148" s="7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5.75" customHeight="1">
      <c r="A149" s="6"/>
      <c r="B149" s="42"/>
      <c r="C149" s="42"/>
      <c r="D149" s="42"/>
      <c r="E149" s="42"/>
      <c r="F149" s="42"/>
      <c r="G149" s="42"/>
      <c r="H149" s="42"/>
      <c r="I149" s="6"/>
      <c r="J149" s="7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5.75" customHeight="1">
      <c r="A150" s="6"/>
      <c r="B150" s="42"/>
      <c r="C150" s="42"/>
      <c r="D150" s="42"/>
      <c r="E150" s="42"/>
      <c r="F150" s="42"/>
      <c r="G150" s="42"/>
      <c r="H150" s="42"/>
      <c r="I150" s="6"/>
      <c r="J150" s="7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5.75" customHeight="1">
      <c r="A151" s="6"/>
      <c r="B151" s="42"/>
      <c r="C151" s="42"/>
      <c r="D151" s="42"/>
      <c r="E151" s="42"/>
      <c r="F151" s="42"/>
      <c r="G151" s="42"/>
      <c r="H151" s="42"/>
      <c r="I151" s="6"/>
      <c r="J151" s="7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5.75" customHeight="1">
      <c r="A152" s="6"/>
      <c r="B152" s="42"/>
      <c r="C152" s="42"/>
      <c r="D152" s="42"/>
      <c r="E152" s="42"/>
      <c r="F152" s="42"/>
      <c r="G152" s="42"/>
      <c r="H152" s="42"/>
      <c r="I152" s="6"/>
      <c r="J152" s="7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5.75" customHeight="1">
      <c r="A153" s="6"/>
      <c r="B153" s="42"/>
      <c r="C153" s="42"/>
      <c r="D153" s="42"/>
      <c r="E153" s="42"/>
      <c r="F153" s="42"/>
      <c r="G153" s="42"/>
      <c r="H153" s="42"/>
      <c r="I153" s="6"/>
      <c r="J153" s="7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5.75" customHeight="1">
      <c r="A154" s="6"/>
      <c r="B154" s="42"/>
      <c r="C154" s="42"/>
      <c r="D154" s="42"/>
      <c r="E154" s="42"/>
      <c r="F154" s="42"/>
      <c r="G154" s="42"/>
      <c r="H154" s="42"/>
      <c r="I154" s="6"/>
      <c r="J154" s="7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5.75" customHeight="1">
      <c r="A155" s="6"/>
      <c r="B155" s="42"/>
      <c r="C155" s="42"/>
      <c r="D155" s="42"/>
      <c r="E155" s="42"/>
      <c r="F155" s="42"/>
      <c r="G155" s="42"/>
      <c r="H155" s="42"/>
      <c r="I155" s="6"/>
      <c r="J155" s="7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5.75" customHeight="1">
      <c r="A156" s="6"/>
      <c r="B156" s="42"/>
      <c r="C156" s="42"/>
      <c r="D156" s="42"/>
      <c r="E156" s="42"/>
      <c r="F156" s="42"/>
      <c r="G156" s="42"/>
      <c r="H156" s="42"/>
      <c r="I156" s="6"/>
      <c r="J156" s="7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5.75" customHeight="1">
      <c r="A157" s="6"/>
      <c r="B157" s="42"/>
      <c r="C157" s="42"/>
      <c r="D157" s="42"/>
      <c r="E157" s="42"/>
      <c r="F157" s="42"/>
      <c r="G157" s="42"/>
      <c r="H157" s="42"/>
      <c r="I157" s="6"/>
      <c r="J157" s="7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5.75" customHeight="1">
      <c r="A158" s="6"/>
      <c r="B158" s="42"/>
      <c r="C158" s="42"/>
      <c r="D158" s="42"/>
      <c r="E158" s="42"/>
      <c r="F158" s="42"/>
      <c r="G158" s="42"/>
      <c r="H158" s="42"/>
      <c r="I158" s="6"/>
      <c r="J158" s="7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customHeight="1">
      <c r="A159" s="6"/>
      <c r="B159" s="42"/>
      <c r="C159" s="42"/>
      <c r="D159" s="42"/>
      <c r="E159" s="42"/>
      <c r="F159" s="42"/>
      <c r="G159" s="42"/>
      <c r="H159" s="42"/>
      <c r="I159" s="6"/>
      <c r="J159" s="7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customHeight="1">
      <c r="A160" s="6"/>
      <c r="B160" s="42"/>
      <c r="C160" s="42"/>
      <c r="D160" s="42"/>
      <c r="E160" s="42"/>
      <c r="F160" s="42"/>
      <c r="G160" s="42"/>
      <c r="H160" s="42"/>
      <c r="I160" s="6"/>
      <c r="J160" s="7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customHeight="1">
      <c r="A161" s="6"/>
      <c r="B161" s="42"/>
      <c r="C161" s="42"/>
      <c r="D161" s="42"/>
      <c r="E161" s="42"/>
      <c r="F161" s="42"/>
      <c r="G161" s="42"/>
      <c r="H161" s="42"/>
      <c r="I161" s="6"/>
      <c r="J161" s="7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customHeight="1">
      <c r="A162" s="6"/>
      <c r="B162" s="42"/>
      <c r="C162" s="42"/>
      <c r="D162" s="42"/>
      <c r="E162" s="42"/>
      <c r="F162" s="42"/>
      <c r="G162" s="42"/>
      <c r="H162" s="42"/>
      <c r="I162" s="6"/>
      <c r="J162" s="7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customHeight="1">
      <c r="A163" s="6"/>
      <c r="B163" s="42"/>
      <c r="C163" s="42"/>
      <c r="D163" s="42"/>
      <c r="E163" s="42"/>
      <c r="F163" s="42"/>
      <c r="G163" s="42"/>
      <c r="H163" s="42"/>
      <c r="I163" s="6"/>
      <c r="J163" s="7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customHeight="1">
      <c r="A164" s="6"/>
      <c r="B164" s="42"/>
      <c r="C164" s="42"/>
      <c r="D164" s="42"/>
      <c r="E164" s="42"/>
      <c r="F164" s="42"/>
      <c r="G164" s="42"/>
      <c r="H164" s="42"/>
      <c r="I164" s="6"/>
      <c r="J164" s="7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>
      <c r="A165" s="6"/>
      <c r="B165" s="42"/>
      <c r="C165" s="42"/>
      <c r="D165" s="42"/>
      <c r="E165" s="42"/>
      <c r="F165" s="42"/>
      <c r="G165" s="42"/>
      <c r="H165" s="42"/>
      <c r="I165" s="6"/>
      <c r="J165" s="7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customHeight="1">
      <c r="A166" s="6"/>
      <c r="B166" s="42"/>
      <c r="C166" s="42"/>
      <c r="D166" s="42"/>
      <c r="E166" s="42"/>
      <c r="F166" s="42"/>
      <c r="G166" s="42"/>
      <c r="H166" s="42"/>
      <c r="I166" s="6"/>
      <c r="J166" s="7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customHeight="1">
      <c r="A167" s="6"/>
      <c r="B167" s="42"/>
      <c r="C167" s="42"/>
      <c r="D167" s="42"/>
      <c r="E167" s="42"/>
      <c r="F167" s="42"/>
      <c r="G167" s="42"/>
      <c r="H167" s="42"/>
      <c r="I167" s="6"/>
      <c r="J167" s="7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customHeight="1">
      <c r="A168" s="6"/>
      <c r="B168" s="42"/>
      <c r="C168" s="42"/>
      <c r="D168" s="42"/>
      <c r="E168" s="42"/>
      <c r="F168" s="42"/>
      <c r="G168" s="42"/>
      <c r="H168" s="42"/>
      <c r="I168" s="6"/>
      <c r="J168" s="7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>
      <c r="A169" s="6"/>
      <c r="B169" s="42"/>
      <c r="C169" s="42"/>
      <c r="D169" s="42"/>
      <c r="E169" s="42"/>
      <c r="F169" s="42"/>
      <c r="G169" s="42"/>
      <c r="H169" s="42"/>
      <c r="I169" s="6"/>
      <c r="J169" s="7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5.75" customHeight="1">
      <c r="A170" s="6"/>
      <c r="B170" s="42"/>
      <c r="C170" s="42"/>
      <c r="D170" s="42"/>
      <c r="E170" s="42"/>
      <c r="F170" s="42"/>
      <c r="G170" s="42"/>
      <c r="H170" s="42"/>
      <c r="I170" s="6"/>
      <c r="J170" s="7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5.75" customHeight="1">
      <c r="A171" s="6"/>
      <c r="B171" s="42"/>
      <c r="C171" s="42"/>
      <c r="D171" s="42"/>
      <c r="E171" s="42"/>
      <c r="F171" s="42"/>
      <c r="G171" s="42"/>
      <c r="H171" s="42"/>
      <c r="I171" s="6"/>
      <c r="J171" s="7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5.75" customHeight="1">
      <c r="A172" s="6"/>
      <c r="B172" s="42"/>
      <c r="C172" s="42"/>
      <c r="D172" s="42"/>
      <c r="E172" s="42"/>
      <c r="F172" s="42"/>
      <c r="G172" s="42"/>
      <c r="H172" s="42"/>
      <c r="I172" s="6"/>
      <c r="J172" s="7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customHeight="1">
      <c r="A173" s="6"/>
      <c r="B173" s="42"/>
      <c r="C173" s="42"/>
      <c r="D173" s="42"/>
      <c r="E173" s="42"/>
      <c r="F173" s="42"/>
      <c r="G173" s="42"/>
      <c r="H173" s="42"/>
      <c r="I173" s="6"/>
      <c r="J173" s="7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5.75" customHeight="1">
      <c r="A174" s="6"/>
      <c r="B174" s="42"/>
      <c r="C174" s="42"/>
      <c r="D174" s="42"/>
      <c r="E174" s="42"/>
      <c r="F174" s="42"/>
      <c r="G174" s="42"/>
      <c r="H174" s="42"/>
      <c r="I174" s="6"/>
      <c r="J174" s="7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5.75" customHeight="1">
      <c r="A175" s="6"/>
      <c r="B175" s="42"/>
      <c r="C175" s="42"/>
      <c r="D175" s="42"/>
      <c r="E175" s="42"/>
      <c r="F175" s="42"/>
      <c r="G175" s="42"/>
      <c r="H175" s="42"/>
      <c r="I175" s="6"/>
      <c r="J175" s="7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5.75" customHeight="1">
      <c r="A176" s="6"/>
      <c r="B176" s="42"/>
      <c r="C176" s="42"/>
      <c r="D176" s="42"/>
      <c r="E176" s="42"/>
      <c r="F176" s="42"/>
      <c r="G176" s="42"/>
      <c r="H176" s="42"/>
      <c r="I176" s="6"/>
      <c r="J176" s="7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5.75" customHeight="1">
      <c r="A177" s="6"/>
      <c r="B177" s="42"/>
      <c r="C177" s="42"/>
      <c r="D177" s="42"/>
      <c r="E177" s="42"/>
      <c r="F177" s="42"/>
      <c r="G177" s="42"/>
      <c r="H177" s="42"/>
      <c r="I177" s="6"/>
      <c r="J177" s="7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5.75" customHeight="1">
      <c r="A178" s="6"/>
      <c r="B178" s="42"/>
      <c r="C178" s="42"/>
      <c r="D178" s="42"/>
      <c r="E178" s="42"/>
      <c r="F178" s="42"/>
      <c r="G178" s="42"/>
      <c r="H178" s="42"/>
      <c r="I178" s="6"/>
      <c r="J178" s="7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5.75" customHeight="1">
      <c r="A179" s="6"/>
      <c r="B179" s="42"/>
      <c r="C179" s="42"/>
      <c r="D179" s="42"/>
      <c r="E179" s="42"/>
      <c r="F179" s="42"/>
      <c r="G179" s="42"/>
      <c r="H179" s="42"/>
      <c r="I179" s="6"/>
      <c r="J179" s="7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5.75" customHeight="1">
      <c r="A180" s="6"/>
      <c r="B180" s="42"/>
      <c r="C180" s="42"/>
      <c r="D180" s="42"/>
      <c r="E180" s="42"/>
      <c r="F180" s="42"/>
      <c r="G180" s="42"/>
      <c r="H180" s="42"/>
      <c r="I180" s="6"/>
      <c r="J180" s="7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5.75" customHeight="1">
      <c r="A181" s="6"/>
      <c r="B181" s="42"/>
      <c r="C181" s="42"/>
      <c r="D181" s="42"/>
      <c r="E181" s="42"/>
      <c r="F181" s="42"/>
      <c r="G181" s="42"/>
      <c r="H181" s="42"/>
      <c r="I181" s="6"/>
      <c r="J181" s="7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5.75" customHeight="1">
      <c r="A182" s="6"/>
      <c r="B182" s="42"/>
      <c r="C182" s="42"/>
      <c r="D182" s="42"/>
      <c r="E182" s="42"/>
      <c r="F182" s="42"/>
      <c r="G182" s="42"/>
      <c r="H182" s="42"/>
      <c r="I182" s="6"/>
      <c r="J182" s="7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5.75" customHeight="1">
      <c r="A183" s="6"/>
      <c r="B183" s="42"/>
      <c r="C183" s="42"/>
      <c r="D183" s="42"/>
      <c r="E183" s="42"/>
      <c r="F183" s="42"/>
      <c r="G183" s="42"/>
      <c r="H183" s="42"/>
      <c r="I183" s="6"/>
      <c r="J183" s="7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5.75" customHeight="1">
      <c r="A184" s="6"/>
      <c r="B184" s="42"/>
      <c r="C184" s="42"/>
      <c r="D184" s="42"/>
      <c r="E184" s="42"/>
      <c r="F184" s="42"/>
      <c r="G184" s="42"/>
      <c r="H184" s="42"/>
      <c r="I184" s="6"/>
      <c r="J184" s="7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customHeight="1">
      <c r="A185" s="6"/>
      <c r="B185" s="42"/>
      <c r="C185" s="42"/>
      <c r="D185" s="42"/>
      <c r="E185" s="42"/>
      <c r="F185" s="42"/>
      <c r="G185" s="42"/>
      <c r="H185" s="42"/>
      <c r="I185" s="6"/>
      <c r="J185" s="7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5.75" customHeight="1">
      <c r="A186" s="6"/>
      <c r="B186" s="42"/>
      <c r="C186" s="42"/>
      <c r="D186" s="42"/>
      <c r="E186" s="42"/>
      <c r="F186" s="42"/>
      <c r="G186" s="42"/>
      <c r="H186" s="42"/>
      <c r="I186" s="6"/>
      <c r="J186" s="7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5.75" customHeight="1">
      <c r="A187" s="6"/>
      <c r="B187" s="42"/>
      <c r="C187" s="42"/>
      <c r="D187" s="42"/>
      <c r="E187" s="42"/>
      <c r="F187" s="42"/>
      <c r="G187" s="42"/>
      <c r="H187" s="42"/>
      <c r="I187" s="6"/>
      <c r="J187" s="7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5.75" customHeight="1">
      <c r="A188" s="6"/>
      <c r="B188" s="42"/>
      <c r="C188" s="42"/>
      <c r="D188" s="42"/>
      <c r="E188" s="42"/>
      <c r="F188" s="42"/>
      <c r="G188" s="42"/>
      <c r="H188" s="42"/>
      <c r="I188" s="6"/>
      <c r="J188" s="7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5.75" customHeight="1">
      <c r="A189" s="6"/>
      <c r="B189" s="42"/>
      <c r="C189" s="42"/>
      <c r="D189" s="42"/>
      <c r="E189" s="42"/>
      <c r="F189" s="42"/>
      <c r="G189" s="42"/>
      <c r="H189" s="42"/>
      <c r="I189" s="6"/>
      <c r="J189" s="7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5.75" customHeight="1">
      <c r="A190" s="6"/>
      <c r="B190" s="42"/>
      <c r="C190" s="42"/>
      <c r="D190" s="42"/>
      <c r="E190" s="42"/>
      <c r="F190" s="42"/>
      <c r="G190" s="42"/>
      <c r="H190" s="42"/>
      <c r="I190" s="6"/>
      <c r="J190" s="7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5.75" customHeight="1">
      <c r="A191" s="6"/>
      <c r="B191" s="42"/>
      <c r="C191" s="42"/>
      <c r="D191" s="42"/>
      <c r="E191" s="42"/>
      <c r="F191" s="42"/>
      <c r="G191" s="42"/>
      <c r="H191" s="42"/>
      <c r="I191" s="6"/>
      <c r="J191" s="7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5.75" customHeight="1">
      <c r="A192" s="6"/>
      <c r="B192" s="42"/>
      <c r="C192" s="42"/>
      <c r="D192" s="42"/>
      <c r="E192" s="42"/>
      <c r="F192" s="42"/>
      <c r="G192" s="42"/>
      <c r="H192" s="42"/>
      <c r="I192" s="6"/>
      <c r="J192" s="7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5.75" customHeight="1">
      <c r="A193" s="6"/>
      <c r="B193" s="42"/>
      <c r="C193" s="42"/>
      <c r="D193" s="42"/>
      <c r="E193" s="42"/>
      <c r="F193" s="42"/>
      <c r="G193" s="42"/>
      <c r="H193" s="42"/>
      <c r="I193" s="6"/>
      <c r="J193" s="7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5.75" customHeight="1">
      <c r="A194" s="6"/>
      <c r="B194" s="42"/>
      <c r="C194" s="42"/>
      <c r="D194" s="42"/>
      <c r="E194" s="42"/>
      <c r="F194" s="42"/>
      <c r="G194" s="42"/>
      <c r="H194" s="42"/>
      <c r="I194" s="6"/>
      <c r="J194" s="7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5.75" customHeight="1">
      <c r="A195" s="6"/>
      <c r="B195" s="42"/>
      <c r="C195" s="42"/>
      <c r="D195" s="42"/>
      <c r="E195" s="42"/>
      <c r="F195" s="42"/>
      <c r="G195" s="42"/>
      <c r="H195" s="42"/>
      <c r="I195" s="6"/>
      <c r="J195" s="7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5.75" customHeight="1">
      <c r="A196" s="6"/>
      <c r="B196" s="42"/>
      <c r="C196" s="42"/>
      <c r="D196" s="42"/>
      <c r="E196" s="42"/>
      <c r="F196" s="42"/>
      <c r="G196" s="42"/>
      <c r="H196" s="42"/>
      <c r="I196" s="6"/>
      <c r="J196" s="7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5.75" customHeight="1">
      <c r="A197" s="6"/>
      <c r="B197" s="42"/>
      <c r="C197" s="42"/>
      <c r="D197" s="42"/>
      <c r="E197" s="42"/>
      <c r="F197" s="42"/>
      <c r="G197" s="42"/>
      <c r="H197" s="42"/>
      <c r="I197" s="6"/>
      <c r="J197" s="7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5.75" customHeight="1">
      <c r="A198" s="6"/>
      <c r="B198" s="42"/>
      <c r="C198" s="42"/>
      <c r="D198" s="42"/>
      <c r="E198" s="42"/>
      <c r="F198" s="42"/>
      <c r="G198" s="42"/>
      <c r="H198" s="42"/>
      <c r="I198" s="6"/>
      <c r="J198" s="7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5.75" customHeight="1">
      <c r="A199" s="6"/>
      <c r="B199" s="42"/>
      <c r="C199" s="42"/>
      <c r="D199" s="42"/>
      <c r="E199" s="42"/>
      <c r="F199" s="42"/>
      <c r="G199" s="42"/>
      <c r="H199" s="42"/>
      <c r="I199" s="6"/>
      <c r="J199" s="7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5.75" customHeight="1">
      <c r="A200" s="6"/>
      <c r="B200" s="42"/>
      <c r="C200" s="42"/>
      <c r="D200" s="42"/>
      <c r="E200" s="42"/>
      <c r="F200" s="42"/>
      <c r="G200" s="42"/>
      <c r="H200" s="42"/>
      <c r="I200" s="6"/>
      <c r="J200" s="7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5.75" customHeight="1">
      <c r="A201" s="6"/>
      <c r="B201" s="42"/>
      <c r="C201" s="42"/>
      <c r="D201" s="42"/>
      <c r="E201" s="42"/>
      <c r="F201" s="42"/>
      <c r="G201" s="42"/>
      <c r="H201" s="42"/>
      <c r="I201" s="6"/>
      <c r="J201" s="7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5.75" customHeight="1">
      <c r="A202" s="6"/>
      <c r="B202" s="42"/>
      <c r="C202" s="42"/>
      <c r="D202" s="42"/>
      <c r="E202" s="42"/>
      <c r="F202" s="42"/>
      <c r="G202" s="42"/>
      <c r="H202" s="42"/>
      <c r="I202" s="6"/>
      <c r="J202" s="7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5.75" customHeight="1">
      <c r="A203" s="6"/>
      <c r="B203" s="42"/>
      <c r="C203" s="42"/>
      <c r="D203" s="42"/>
      <c r="E203" s="42"/>
      <c r="F203" s="42"/>
      <c r="G203" s="42"/>
      <c r="H203" s="42"/>
      <c r="I203" s="6"/>
      <c r="J203" s="7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5.75" customHeight="1">
      <c r="A204" s="6"/>
      <c r="B204" s="42"/>
      <c r="C204" s="42"/>
      <c r="D204" s="42"/>
      <c r="E204" s="42"/>
      <c r="F204" s="42"/>
      <c r="G204" s="42"/>
      <c r="H204" s="42"/>
      <c r="I204" s="6"/>
      <c r="J204" s="7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5.75" customHeight="1">
      <c r="A205" s="6"/>
      <c r="B205" s="42"/>
      <c r="C205" s="42"/>
      <c r="D205" s="42"/>
      <c r="E205" s="42"/>
      <c r="F205" s="42"/>
      <c r="G205" s="42"/>
      <c r="H205" s="42"/>
      <c r="I205" s="6"/>
      <c r="J205" s="7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5.75" customHeight="1">
      <c r="A206" s="6"/>
      <c r="B206" s="42"/>
      <c r="C206" s="42"/>
      <c r="D206" s="42"/>
      <c r="E206" s="42"/>
      <c r="F206" s="42"/>
      <c r="G206" s="42"/>
      <c r="H206" s="42"/>
      <c r="I206" s="6"/>
      <c r="J206" s="7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5.75" customHeight="1">
      <c r="A207" s="6"/>
      <c r="B207" s="42"/>
      <c r="C207" s="42"/>
      <c r="D207" s="42"/>
      <c r="E207" s="42"/>
      <c r="F207" s="42"/>
      <c r="G207" s="42"/>
      <c r="H207" s="42"/>
      <c r="I207" s="6"/>
      <c r="J207" s="7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5.75" customHeight="1">
      <c r="A208" s="6"/>
      <c r="B208" s="42"/>
      <c r="C208" s="42"/>
      <c r="D208" s="42"/>
      <c r="E208" s="42"/>
      <c r="F208" s="42"/>
      <c r="G208" s="42"/>
      <c r="H208" s="42"/>
      <c r="I208" s="6"/>
      <c r="J208" s="7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5.75" customHeight="1">
      <c r="A209" s="6"/>
      <c r="B209" s="42"/>
      <c r="C209" s="42"/>
      <c r="D209" s="42"/>
      <c r="E209" s="42"/>
      <c r="F209" s="42"/>
      <c r="G209" s="42"/>
      <c r="H209" s="42"/>
      <c r="I209" s="6"/>
      <c r="J209" s="7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5.75" customHeight="1">
      <c r="A210" s="6"/>
      <c r="B210" s="42"/>
      <c r="C210" s="42"/>
      <c r="D210" s="42"/>
      <c r="E210" s="42"/>
      <c r="F210" s="42"/>
      <c r="G210" s="42"/>
      <c r="H210" s="42"/>
      <c r="I210" s="6"/>
      <c r="J210" s="7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5.75" customHeight="1">
      <c r="A211" s="6"/>
      <c r="B211" s="42"/>
      <c r="C211" s="42"/>
      <c r="D211" s="42"/>
      <c r="E211" s="42"/>
      <c r="F211" s="42"/>
      <c r="G211" s="42"/>
      <c r="H211" s="42"/>
      <c r="I211" s="6"/>
      <c r="J211" s="7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5.75" customHeight="1">
      <c r="A212" s="6"/>
      <c r="B212" s="42"/>
      <c r="C212" s="42"/>
      <c r="D212" s="42"/>
      <c r="E212" s="42"/>
      <c r="F212" s="42"/>
      <c r="G212" s="42"/>
      <c r="H212" s="42"/>
      <c r="I212" s="6"/>
      <c r="J212" s="7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5.75" customHeight="1">
      <c r="A213" s="6"/>
      <c r="B213" s="42"/>
      <c r="C213" s="42"/>
      <c r="D213" s="42"/>
      <c r="E213" s="42"/>
      <c r="F213" s="42"/>
      <c r="G213" s="42"/>
      <c r="H213" s="42"/>
      <c r="I213" s="6"/>
      <c r="J213" s="7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5.75" customHeight="1">
      <c r="A214" s="6"/>
      <c r="B214" s="42"/>
      <c r="C214" s="42"/>
      <c r="D214" s="42"/>
      <c r="E214" s="42"/>
      <c r="F214" s="42"/>
      <c r="G214" s="42"/>
      <c r="H214" s="42"/>
      <c r="I214" s="6"/>
      <c r="J214" s="7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5.75" customHeight="1">
      <c r="A215" s="6"/>
      <c r="B215" s="42"/>
      <c r="C215" s="42"/>
      <c r="D215" s="42"/>
      <c r="E215" s="42"/>
      <c r="F215" s="42"/>
      <c r="G215" s="42"/>
      <c r="H215" s="42"/>
      <c r="I215" s="6"/>
      <c r="J215" s="7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5.75" customHeight="1">
      <c r="A216" s="6"/>
      <c r="B216" s="42"/>
      <c r="C216" s="42"/>
      <c r="D216" s="42"/>
      <c r="E216" s="42"/>
      <c r="F216" s="42"/>
      <c r="G216" s="42"/>
      <c r="H216" s="42"/>
      <c r="I216" s="6"/>
      <c r="J216" s="7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5.75" customHeight="1">
      <c r="A217" s="6"/>
      <c r="B217" s="42"/>
      <c r="C217" s="42"/>
      <c r="D217" s="42"/>
      <c r="E217" s="42"/>
      <c r="F217" s="42"/>
      <c r="G217" s="42"/>
      <c r="H217" s="42"/>
      <c r="I217" s="6"/>
      <c r="J217" s="7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5.75" customHeight="1">
      <c r="A218" s="6"/>
      <c r="B218" s="42"/>
      <c r="C218" s="42"/>
      <c r="D218" s="42"/>
      <c r="E218" s="42"/>
      <c r="F218" s="42"/>
      <c r="G218" s="42"/>
      <c r="H218" s="42"/>
      <c r="I218" s="6"/>
      <c r="J218" s="7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5.75" customHeight="1">
      <c r="A219" s="6"/>
      <c r="B219" s="42"/>
      <c r="C219" s="42"/>
      <c r="D219" s="42"/>
      <c r="E219" s="42"/>
      <c r="F219" s="42"/>
      <c r="G219" s="42"/>
      <c r="H219" s="42"/>
      <c r="I219" s="6"/>
      <c r="J219" s="7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customHeight="1">
      <c r="A220" s="6"/>
      <c r="B220" s="42"/>
      <c r="C220" s="42"/>
      <c r="D220" s="42"/>
      <c r="E220" s="42"/>
      <c r="F220" s="42"/>
      <c r="G220" s="42"/>
      <c r="H220" s="42"/>
      <c r="I220" s="6"/>
      <c r="J220" s="7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>
      <c r="A221" s="6"/>
      <c r="B221" s="42"/>
      <c r="C221" s="42"/>
      <c r="D221" s="42"/>
      <c r="E221" s="42"/>
      <c r="F221" s="42"/>
      <c r="G221" s="42"/>
      <c r="H221" s="42"/>
      <c r="I221" s="6"/>
      <c r="J221" s="7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5.75" customHeight="1">
      <c r="A222" s="6"/>
      <c r="B222" s="42"/>
      <c r="C222" s="42"/>
      <c r="D222" s="42"/>
      <c r="E222" s="42"/>
      <c r="F222" s="42"/>
      <c r="G222" s="42"/>
      <c r="H222" s="42"/>
      <c r="I222" s="6"/>
      <c r="J222" s="7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5.75" customHeight="1">
      <c r="A223" s="6"/>
      <c r="B223" s="42"/>
      <c r="C223" s="42"/>
      <c r="D223" s="42"/>
      <c r="E223" s="42"/>
      <c r="F223" s="42"/>
      <c r="G223" s="42"/>
      <c r="H223" s="42"/>
      <c r="I223" s="6"/>
      <c r="J223" s="7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5.75" customHeight="1">
      <c r="A224" s="6"/>
      <c r="B224" s="42"/>
      <c r="C224" s="42"/>
      <c r="D224" s="42"/>
      <c r="E224" s="42"/>
      <c r="F224" s="42"/>
      <c r="G224" s="42"/>
      <c r="H224" s="42"/>
      <c r="I224" s="6"/>
      <c r="J224" s="7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5.75" customHeight="1">
      <c r="A225" s="6"/>
      <c r="B225" s="42"/>
      <c r="C225" s="42"/>
      <c r="D225" s="42"/>
      <c r="E225" s="42"/>
      <c r="F225" s="42"/>
      <c r="G225" s="42"/>
      <c r="H225" s="42"/>
      <c r="I225" s="6"/>
      <c r="J225" s="7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5.75" customHeight="1">
      <c r="A226" s="6"/>
      <c r="B226" s="42"/>
      <c r="C226" s="42"/>
      <c r="D226" s="42"/>
      <c r="E226" s="42"/>
      <c r="F226" s="42"/>
      <c r="G226" s="42"/>
      <c r="H226" s="42"/>
      <c r="I226" s="6"/>
      <c r="J226" s="7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5.75" customHeight="1">
      <c r="A227" s="6"/>
      <c r="B227" s="42"/>
      <c r="C227" s="42"/>
      <c r="D227" s="42"/>
      <c r="E227" s="42"/>
      <c r="F227" s="42"/>
      <c r="G227" s="42"/>
      <c r="H227" s="42"/>
      <c r="I227" s="6"/>
      <c r="J227" s="7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5.75" customHeight="1">
      <c r="A228" s="6"/>
      <c r="B228" s="42"/>
      <c r="C228" s="42"/>
      <c r="D228" s="42"/>
      <c r="E228" s="42"/>
      <c r="F228" s="42"/>
      <c r="G228" s="42"/>
      <c r="H228" s="42"/>
      <c r="I228" s="6"/>
      <c r="J228" s="7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5.75" customHeight="1">
      <c r="A229" s="6"/>
      <c r="B229" s="42"/>
      <c r="C229" s="42"/>
      <c r="D229" s="42"/>
      <c r="E229" s="42"/>
      <c r="F229" s="42"/>
      <c r="G229" s="42"/>
      <c r="H229" s="42"/>
      <c r="I229" s="6"/>
      <c r="J229" s="7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5.75" customHeight="1">
      <c r="A230" s="6"/>
      <c r="B230" s="42"/>
      <c r="C230" s="42"/>
      <c r="D230" s="42"/>
      <c r="E230" s="42"/>
      <c r="F230" s="42"/>
      <c r="G230" s="42"/>
      <c r="H230" s="42"/>
      <c r="I230" s="6"/>
      <c r="J230" s="7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5.75" customHeight="1">
      <c r="A231" s="6"/>
      <c r="B231" s="42"/>
      <c r="C231" s="42"/>
      <c r="D231" s="42"/>
      <c r="E231" s="42"/>
      <c r="F231" s="42"/>
      <c r="G231" s="42"/>
      <c r="H231" s="42"/>
      <c r="I231" s="6"/>
      <c r="J231" s="7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5.75" customHeight="1">
      <c r="A232" s="6"/>
      <c r="B232" s="42"/>
      <c r="C232" s="42"/>
      <c r="D232" s="42"/>
      <c r="E232" s="42"/>
      <c r="F232" s="42"/>
      <c r="G232" s="42"/>
      <c r="H232" s="42"/>
      <c r="I232" s="6"/>
      <c r="J232" s="7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5.75" customHeight="1">
      <c r="A233" s="6"/>
      <c r="B233" s="42"/>
      <c r="C233" s="42"/>
      <c r="D233" s="42"/>
      <c r="E233" s="42"/>
      <c r="F233" s="42"/>
      <c r="G233" s="42"/>
      <c r="H233" s="42"/>
      <c r="I233" s="6"/>
      <c r="J233" s="7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5.75" customHeight="1">
      <c r="A234" s="6"/>
      <c r="B234" s="42"/>
      <c r="C234" s="42"/>
      <c r="D234" s="42"/>
      <c r="E234" s="42"/>
      <c r="F234" s="42"/>
      <c r="G234" s="42"/>
      <c r="H234" s="42"/>
      <c r="I234" s="6"/>
      <c r="J234" s="7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5.75" customHeight="1">
      <c r="A235" s="6"/>
      <c r="B235" s="42"/>
      <c r="C235" s="42"/>
      <c r="D235" s="42"/>
      <c r="E235" s="42"/>
      <c r="F235" s="42"/>
      <c r="G235" s="42"/>
      <c r="H235" s="42"/>
      <c r="I235" s="6"/>
      <c r="J235" s="7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5.75" customHeight="1">
      <c r="A236" s="6"/>
      <c r="B236" s="42"/>
      <c r="C236" s="42"/>
      <c r="D236" s="42"/>
      <c r="E236" s="42"/>
      <c r="F236" s="42"/>
      <c r="G236" s="42"/>
      <c r="H236" s="42"/>
      <c r="I236" s="6"/>
      <c r="J236" s="7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5.75" customHeight="1">
      <c r="A237" s="6"/>
      <c r="B237" s="42"/>
      <c r="C237" s="42"/>
      <c r="D237" s="42"/>
      <c r="E237" s="42"/>
      <c r="F237" s="42"/>
      <c r="G237" s="42"/>
      <c r="H237" s="42"/>
      <c r="I237" s="6"/>
      <c r="J237" s="7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5.75" customHeight="1">
      <c r="A238" s="6"/>
      <c r="B238" s="42"/>
      <c r="C238" s="42"/>
      <c r="D238" s="42"/>
      <c r="E238" s="42"/>
      <c r="F238" s="42"/>
      <c r="G238" s="42"/>
      <c r="H238" s="42"/>
      <c r="I238" s="6"/>
      <c r="J238" s="7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5.75" customHeight="1">
      <c r="A239" s="6"/>
      <c r="B239" s="42"/>
      <c r="C239" s="42"/>
      <c r="D239" s="42"/>
      <c r="E239" s="42"/>
      <c r="F239" s="42"/>
      <c r="G239" s="42"/>
      <c r="H239" s="42"/>
      <c r="I239" s="6"/>
      <c r="J239" s="7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5.75" customHeight="1">
      <c r="A240" s="6"/>
      <c r="B240" s="42"/>
      <c r="C240" s="42"/>
      <c r="D240" s="42"/>
      <c r="E240" s="42"/>
      <c r="F240" s="42"/>
      <c r="G240" s="42"/>
      <c r="H240" s="42"/>
      <c r="I240" s="6"/>
      <c r="J240" s="7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5.75" customHeight="1">
      <c r="A241" s="6"/>
      <c r="B241" s="42"/>
      <c r="C241" s="42"/>
      <c r="D241" s="42"/>
      <c r="E241" s="42"/>
      <c r="F241" s="42"/>
      <c r="G241" s="42"/>
      <c r="H241" s="42"/>
      <c r="I241" s="6"/>
      <c r="J241" s="7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17:H17"/>
    <mergeCell ref="A18:H18"/>
    <mergeCell ref="A21:C21"/>
    <mergeCell ref="A38:C38"/>
    <mergeCell ref="G1:H1"/>
    <mergeCell ref="K2:Q2"/>
    <mergeCell ref="B12:H12"/>
    <mergeCell ref="B13:H13"/>
    <mergeCell ref="B14:H14"/>
    <mergeCell ref="B15:H15"/>
    <mergeCell ref="B16:H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13"/>
    <col customWidth="1" min="2" max="2" width="16.0"/>
    <col customWidth="1" min="3" max="3" width="20.13"/>
    <col customWidth="1" min="4" max="4" width="19.0"/>
    <col customWidth="1" min="5" max="5" width="23.0"/>
    <col customWidth="1" min="6" max="6" width="33.25"/>
    <col customWidth="1" min="7" max="7" width="13.0"/>
    <col customWidth="1" min="8" max="8" width="15.25"/>
    <col customWidth="1" min="9" max="10" width="14.38"/>
    <col customWidth="1" min="11" max="11" width="41.75"/>
    <col customWidth="1" min="12" max="12" width="13.0"/>
    <col customWidth="1" min="13" max="13" width="15.0"/>
    <col customWidth="1" min="14" max="26" width="14.38"/>
  </cols>
  <sheetData>
    <row r="1" ht="15.75" customHeight="1">
      <c r="A1" s="65" t="s">
        <v>63</v>
      </c>
      <c r="D1" s="66"/>
      <c r="E1" s="66"/>
      <c r="F1" s="67"/>
      <c r="G1" s="67"/>
      <c r="H1" s="67"/>
      <c r="I1" s="67"/>
      <c r="J1" s="67"/>
      <c r="K1" s="67"/>
      <c r="L1" s="67"/>
      <c r="M1" s="67"/>
      <c r="N1" s="67"/>
      <c r="O1" s="67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ht="15.75" customHeight="1">
      <c r="A2" s="66"/>
      <c r="B2" s="66"/>
      <c r="C2" s="66"/>
      <c r="D2" s="66"/>
      <c r="E2" s="66"/>
      <c r="F2" s="67"/>
      <c r="G2" s="67"/>
      <c r="H2" s="67"/>
      <c r="I2" s="67"/>
      <c r="J2" s="67"/>
      <c r="K2" s="67"/>
      <c r="L2" s="67"/>
      <c r="M2" s="67"/>
      <c r="N2" s="67"/>
      <c r="O2" s="67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ht="15.75" customHeight="1">
      <c r="A3" s="46" t="s">
        <v>64</v>
      </c>
      <c r="D3" s="66"/>
      <c r="E3" s="66"/>
      <c r="F3" s="67"/>
      <c r="G3" s="67"/>
      <c r="H3" s="67"/>
      <c r="I3" s="67"/>
      <c r="J3" s="67"/>
      <c r="K3" s="67"/>
      <c r="L3" s="67"/>
      <c r="M3" s="67"/>
      <c r="N3" s="67"/>
      <c r="O3" s="67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ht="15.75" customHeight="1">
      <c r="A4" s="47"/>
      <c r="B4" s="48"/>
      <c r="C4" s="48"/>
      <c r="D4" s="66"/>
      <c r="E4" s="66"/>
      <c r="F4" s="67"/>
      <c r="G4" s="67"/>
      <c r="H4" s="67"/>
      <c r="I4" s="67"/>
      <c r="J4" s="67"/>
      <c r="K4" s="67"/>
      <c r="L4" s="67"/>
      <c r="M4" s="67"/>
      <c r="N4" s="67"/>
      <c r="O4" s="67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15.75" customHeight="1">
      <c r="A5" s="49" t="s">
        <v>50</v>
      </c>
      <c r="B5" s="50"/>
      <c r="C5" s="68">
        <v>0.0</v>
      </c>
      <c r="D5" s="69">
        <v>1.0</v>
      </c>
      <c r="E5" s="66"/>
      <c r="F5" s="67"/>
      <c r="G5" s="67"/>
      <c r="H5" s="67"/>
      <c r="I5" s="67"/>
      <c r="J5" s="67"/>
      <c r="K5" s="67"/>
      <c r="L5" s="67"/>
      <c r="M5" s="67"/>
      <c r="N5" s="67"/>
      <c r="O5" s="67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15.75" customHeight="1">
      <c r="A6" s="52"/>
      <c r="B6" s="53"/>
      <c r="C6" s="48"/>
      <c r="D6" s="66"/>
      <c r="E6" s="66"/>
      <c r="F6" s="67"/>
      <c r="G6" s="67"/>
      <c r="H6" s="67"/>
      <c r="I6" s="67"/>
      <c r="J6" s="67"/>
      <c r="K6" s="67"/>
      <c r="L6" s="67"/>
      <c r="M6" s="67"/>
      <c r="N6" s="67"/>
      <c r="O6" s="67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15.75" customHeight="1">
      <c r="A7" s="52" t="s">
        <v>51</v>
      </c>
      <c r="B7" s="53"/>
      <c r="C7" s="48"/>
      <c r="D7" s="66"/>
      <c r="E7" s="66"/>
      <c r="F7" s="67"/>
      <c r="G7" s="67"/>
      <c r="H7" s="67"/>
      <c r="I7" s="67"/>
      <c r="J7" s="67"/>
      <c r="K7" s="67"/>
      <c r="L7" s="67"/>
      <c r="M7" s="67"/>
      <c r="N7" s="67"/>
      <c r="O7" s="67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ht="15.75" customHeight="1">
      <c r="A8" s="54" t="s">
        <v>52</v>
      </c>
      <c r="B8" s="55">
        <v>0.0</v>
      </c>
      <c r="C8" s="48"/>
      <c r="D8" s="66"/>
      <c r="E8" s="66"/>
      <c r="F8" s="67"/>
      <c r="G8" s="67"/>
      <c r="H8" s="67"/>
      <c r="I8" s="67"/>
      <c r="J8" s="67"/>
      <c r="K8" s="67"/>
      <c r="L8" s="67"/>
      <c r="M8" s="67"/>
      <c r="N8" s="67"/>
      <c r="O8" s="67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15.75" customHeight="1">
      <c r="A9" s="54" t="s">
        <v>53</v>
      </c>
      <c r="B9" s="55">
        <v>0.0</v>
      </c>
      <c r="C9" s="48"/>
      <c r="D9" s="66"/>
      <c r="E9" s="66"/>
      <c r="F9" s="70"/>
      <c r="G9" s="67"/>
      <c r="H9" s="67"/>
      <c r="I9" s="67"/>
      <c r="J9" s="67"/>
      <c r="K9" s="67"/>
      <c r="L9" s="67"/>
      <c r="M9" s="67"/>
      <c r="N9" s="67"/>
      <c r="O9" s="67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15.75" customHeight="1">
      <c r="A10" s="48" t="s">
        <v>54</v>
      </c>
      <c r="B10" s="56">
        <v>0.0</v>
      </c>
      <c r="C10" s="48"/>
      <c r="D10" s="66"/>
      <c r="E10" s="66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ht="15.75" customHeight="1">
      <c r="A11" s="57" t="s">
        <v>55</v>
      </c>
      <c r="B11" s="58">
        <v>0.0</v>
      </c>
      <c r="C11" s="57"/>
      <c r="D11" s="66"/>
      <c r="E11" s="66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ht="15.75" customHeight="1">
      <c r="A12" s="47"/>
      <c r="B12" s="59"/>
      <c r="C12" s="60">
        <f>SUM(B8:B11)</f>
        <v>0</v>
      </c>
      <c r="D12" s="71" t="str">
        <f>C12/C5</f>
        <v>#DIV/0!</v>
      </c>
      <c r="E12" s="72" t="s">
        <v>65</v>
      </c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ht="15.75" customHeight="1">
      <c r="A13" s="52"/>
      <c r="B13" s="59"/>
      <c r="C13" s="48"/>
      <c r="D13" s="73" t="s">
        <v>66</v>
      </c>
      <c r="E13" s="74" t="str">
        <f>C5/C12</f>
        <v>#DIV/0!</v>
      </c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ht="15.75" customHeight="1">
      <c r="A14" s="52"/>
      <c r="B14" s="59"/>
      <c r="C14" s="48"/>
      <c r="D14" s="66"/>
      <c r="E14" s="66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ht="15.75" customHeight="1">
      <c r="A15" s="52" t="s">
        <v>56</v>
      </c>
      <c r="B15" s="59"/>
      <c r="C15" s="48"/>
      <c r="D15" s="66"/>
      <c r="E15" s="75" t="s">
        <v>67</v>
      </c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ht="15.75" customHeight="1">
      <c r="A16" s="54" t="s">
        <v>57</v>
      </c>
      <c r="B16" s="55">
        <v>0.0</v>
      </c>
      <c r="C16" s="48"/>
      <c r="D16" s="66"/>
      <c r="E16" s="76">
        <f>24.6/124.6</f>
        <v>0.1974317817</v>
      </c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ht="15.75" customHeight="1">
      <c r="A17" s="48" t="s">
        <v>68</v>
      </c>
      <c r="B17" s="56">
        <v>0.0</v>
      </c>
      <c r="C17" s="48"/>
      <c r="D17" s="66"/>
      <c r="E17" s="66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ht="15.75" customHeight="1">
      <c r="A18" s="48"/>
      <c r="B18" s="61"/>
      <c r="C18" s="48"/>
      <c r="D18" s="66"/>
      <c r="E18" s="66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ht="15.75" customHeight="1">
      <c r="A19" s="57" t="s">
        <v>58</v>
      </c>
      <c r="B19" s="58">
        <v>0.0</v>
      </c>
      <c r="C19" s="57"/>
      <c r="D19" s="66"/>
      <c r="E19" s="66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15.75" customHeight="1">
      <c r="A20" s="47"/>
      <c r="B20" s="61"/>
      <c r="C20" s="60">
        <f>SUM(B16:B19)</f>
        <v>0</v>
      </c>
      <c r="D20" s="71" t="str">
        <f>C20/C5</f>
        <v>#DIV/0!</v>
      </c>
      <c r="E20" s="77" t="s">
        <v>69</v>
      </c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15.75" customHeight="1">
      <c r="A21" s="53"/>
      <c r="B21" s="53"/>
      <c r="C21" s="53"/>
      <c r="D21" s="73" t="s">
        <v>70</v>
      </c>
      <c r="E21" s="66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15.75" customHeight="1">
      <c r="A22" s="53"/>
      <c r="B22" s="53"/>
      <c r="C22" s="53"/>
      <c r="D22" s="66"/>
      <c r="E22" s="66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15.75" customHeight="1">
      <c r="A23" s="53"/>
      <c r="B23" s="53"/>
      <c r="C23" s="53"/>
      <c r="D23" s="66"/>
      <c r="E23" s="78" t="s">
        <v>71</v>
      </c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15.75" customHeight="1">
      <c r="A24" s="53"/>
      <c r="B24" s="53"/>
      <c r="C24" s="53"/>
      <c r="D24" s="66"/>
      <c r="E24" s="66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15.75" customHeight="1">
      <c r="A25" s="52" t="s">
        <v>59</v>
      </c>
      <c r="B25" s="61"/>
      <c r="C25" s="60">
        <f t="shared" ref="C25:D25" si="1">C5-C12-C20</f>
        <v>0</v>
      </c>
      <c r="D25" s="71" t="str">
        <f t="shared" si="1"/>
        <v>#DIV/0!</v>
      </c>
      <c r="E25" s="77" t="s">
        <v>72</v>
      </c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15.75" customHeight="1">
      <c r="A26" s="6"/>
      <c r="B26" s="42"/>
      <c r="C26" s="42"/>
      <c r="D26" s="73" t="s">
        <v>73</v>
      </c>
      <c r="E26" s="66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15.75" customHeight="1">
      <c r="A27" s="66"/>
      <c r="B27" s="66"/>
      <c r="C27" s="66"/>
      <c r="D27" s="66"/>
      <c r="E27" s="79" t="s">
        <v>74</v>
      </c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15.75" customHeight="1">
      <c r="A28" s="66"/>
      <c r="B28" s="66"/>
      <c r="C28" s="66"/>
      <c r="D28" s="66"/>
      <c r="E28" s="72" t="s">
        <v>75</v>
      </c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15.75" customHeight="1">
      <c r="A29" s="66"/>
      <c r="B29" s="66"/>
      <c r="C29" s="66"/>
      <c r="D29" s="66"/>
      <c r="E29" s="76" t="str">
        <f>D20+D25</f>
        <v>#DIV/0!</v>
      </c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15.75" customHeight="1">
      <c r="A30" s="66"/>
      <c r="B30" s="66"/>
      <c r="C30" s="66"/>
      <c r="D30" s="66"/>
      <c r="E30" s="66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15.75" customHeight="1">
      <c r="A31" s="46" t="s">
        <v>60</v>
      </c>
      <c r="D31" s="66"/>
      <c r="E31" s="66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15.75" customHeight="1">
      <c r="A32" s="6"/>
      <c r="B32" s="42"/>
      <c r="C32" s="42"/>
      <c r="D32" s="66"/>
      <c r="E32" s="66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15.75" customHeight="1">
      <c r="A33" s="44" t="s">
        <v>61</v>
      </c>
      <c r="B33" s="42"/>
      <c r="C33" s="63">
        <v>0.0</v>
      </c>
      <c r="D33" s="66"/>
      <c r="E33" s="66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15.75" customHeight="1">
      <c r="A34" s="44" t="s">
        <v>62</v>
      </c>
      <c r="B34" s="42"/>
      <c r="C34" s="64">
        <v>0.0</v>
      </c>
      <c r="D34" s="66"/>
      <c r="E34" s="66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15.75" customHeight="1">
      <c r="D35" s="66"/>
      <c r="E35" s="66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15.75" customHeight="1">
      <c r="D36" s="66"/>
      <c r="E36" s="66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15.75" customHeight="1">
      <c r="D37" s="66"/>
      <c r="E37" s="66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15.75" customHeight="1">
      <c r="D38" s="66"/>
      <c r="E38" s="66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15.75" customHeight="1">
      <c r="A39" s="66"/>
      <c r="B39" s="66"/>
      <c r="C39" s="66"/>
      <c r="D39" s="66"/>
      <c r="E39" s="66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15.75" customHeight="1">
      <c r="A40" s="66"/>
      <c r="B40" s="66"/>
      <c r="C40" s="66"/>
      <c r="D40" s="66"/>
      <c r="E40" s="66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15.75" customHeight="1">
      <c r="A41" s="66"/>
      <c r="B41" s="66"/>
      <c r="C41" s="66"/>
      <c r="D41" s="66"/>
      <c r="E41" s="66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15.75" customHeight="1">
      <c r="A42" s="66"/>
      <c r="B42" s="66"/>
      <c r="C42" s="66"/>
      <c r="D42" s="66"/>
      <c r="E42" s="66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15.75" customHeight="1">
      <c r="A43" s="66"/>
      <c r="B43" s="66"/>
      <c r="C43" s="66"/>
      <c r="D43" s="66"/>
      <c r="E43" s="66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15.75" customHeight="1">
      <c r="A44" s="66"/>
      <c r="B44" s="66"/>
      <c r="C44" s="66"/>
      <c r="D44" s="66"/>
      <c r="E44" s="66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15.75" customHeight="1">
      <c r="A45" s="66"/>
      <c r="B45" s="66"/>
      <c r="C45" s="66"/>
      <c r="D45" s="66"/>
      <c r="E45" s="66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15.75" customHeight="1">
      <c r="A46" s="66"/>
      <c r="B46" s="66"/>
      <c r="C46" s="66"/>
      <c r="D46" s="66"/>
      <c r="E46" s="66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15.75" customHeight="1">
      <c r="A47" s="66"/>
      <c r="B47" s="66"/>
      <c r="C47" s="66"/>
      <c r="D47" s="66"/>
      <c r="E47" s="66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15.75" customHeight="1">
      <c r="A48" s="66"/>
      <c r="B48" s="66"/>
      <c r="C48" s="66"/>
      <c r="D48" s="66"/>
      <c r="E48" s="66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15.75" customHeight="1">
      <c r="A49" s="66"/>
      <c r="B49" s="66"/>
      <c r="C49" s="66"/>
      <c r="D49" s="66"/>
      <c r="E49" s="66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15.75" customHeight="1">
      <c r="A50" s="66"/>
      <c r="B50" s="66"/>
      <c r="C50" s="66"/>
      <c r="D50" s="66"/>
      <c r="E50" s="66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15.75" customHeight="1">
      <c r="A51" s="66"/>
      <c r="B51" s="66"/>
      <c r="C51" s="66"/>
      <c r="D51" s="66"/>
      <c r="E51" s="66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15.75" customHeight="1">
      <c r="A52" s="66"/>
      <c r="B52" s="66"/>
      <c r="C52" s="66"/>
      <c r="D52" s="66"/>
      <c r="E52" s="66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15.75" customHeight="1">
      <c r="A53" s="66"/>
      <c r="B53" s="66"/>
      <c r="C53" s="66"/>
      <c r="D53" s="66"/>
      <c r="E53" s="66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15.75" customHeight="1">
      <c r="A54" s="66"/>
      <c r="B54" s="66"/>
      <c r="C54" s="66"/>
      <c r="D54" s="66"/>
      <c r="E54" s="66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15.75" customHeight="1">
      <c r="A55" s="66"/>
      <c r="B55" s="66"/>
      <c r="C55" s="66"/>
      <c r="D55" s="66"/>
      <c r="E55" s="66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15.75" customHeight="1">
      <c r="A56" s="66"/>
      <c r="B56" s="66"/>
      <c r="C56" s="66"/>
      <c r="D56" s="66"/>
      <c r="E56" s="66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15.75" customHeight="1">
      <c r="A57" s="66"/>
      <c r="B57" s="66"/>
      <c r="C57" s="66"/>
      <c r="D57" s="66"/>
      <c r="E57" s="66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15.75" customHeight="1">
      <c r="A58" s="66"/>
      <c r="B58" s="66"/>
      <c r="C58" s="66"/>
      <c r="D58" s="66"/>
      <c r="E58" s="66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15.75" customHeight="1">
      <c r="A59" s="66"/>
      <c r="B59" s="66"/>
      <c r="C59" s="66"/>
      <c r="D59" s="66"/>
      <c r="E59" s="66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15.75" customHeight="1">
      <c r="A60" s="66"/>
      <c r="B60" s="66"/>
      <c r="C60" s="66"/>
      <c r="D60" s="66"/>
      <c r="E60" s="66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15.75" customHeight="1">
      <c r="A61" s="66"/>
      <c r="B61" s="66"/>
      <c r="C61" s="66"/>
      <c r="D61" s="66"/>
      <c r="E61" s="66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15.75" customHeight="1">
      <c r="A62" s="66"/>
      <c r="B62" s="66"/>
      <c r="C62" s="66"/>
      <c r="D62" s="66"/>
      <c r="E62" s="66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15.75" customHeight="1">
      <c r="A63" s="66"/>
      <c r="B63" s="66"/>
      <c r="C63" s="66"/>
      <c r="D63" s="66"/>
      <c r="E63" s="66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15.75" customHeight="1">
      <c r="A64" s="66"/>
      <c r="B64" s="66"/>
      <c r="C64" s="66"/>
      <c r="D64" s="66"/>
      <c r="E64" s="66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15.75" customHeight="1">
      <c r="A65" s="66"/>
      <c r="B65" s="66"/>
      <c r="C65" s="66"/>
      <c r="D65" s="66"/>
      <c r="E65" s="66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15.75" customHeight="1">
      <c r="A66" s="66"/>
      <c r="B66" s="66"/>
      <c r="C66" s="66"/>
      <c r="D66" s="66"/>
      <c r="E66" s="66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15.75" customHeight="1">
      <c r="A67" s="66"/>
      <c r="B67" s="66"/>
      <c r="C67" s="66"/>
      <c r="D67" s="66"/>
      <c r="E67" s="66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15.75" customHeight="1">
      <c r="A68" s="66"/>
      <c r="B68" s="66"/>
      <c r="C68" s="66"/>
      <c r="D68" s="66"/>
      <c r="E68" s="66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15.75" customHeight="1">
      <c r="A69" s="66"/>
      <c r="B69" s="66"/>
      <c r="C69" s="66"/>
      <c r="D69" s="66"/>
      <c r="E69" s="66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15.75" customHeight="1">
      <c r="A70" s="66"/>
      <c r="B70" s="66"/>
      <c r="C70" s="66"/>
      <c r="D70" s="66"/>
      <c r="E70" s="66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15.75" customHeight="1">
      <c r="A71" s="66"/>
      <c r="B71" s="66"/>
      <c r="C71" s="66"/>
      <c r="D71" s="66"/>
      <c r="E71" s="66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15.75" customHeight="1">
      <c r="A72" s="66"/>
      <c r="B72" s="66"/>
      <c r="C72" s="66"/>
      <c r="D72" s="66"/>
      <c r="E72" s="66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15.75" customHeight="1">
      <c r="A73" s="66"/>
      <c r="B73" s="66"/>
      <c r="C73" s="66"/>
      <c r="D73" s="66"/>
      <c r="E73" s="66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15.75" customHeight="1">
      <c r="A74" s="66"/>
      <c r="B74" s="66"/>
      <c r="C74" s="66"/>
      <c r="D74" s="66"/>
      <c r="E74" s="66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15.75" customHeight="1">
      <c r="A75" s="66"/>
      <c r="B75" s="66"/>
      <c r="C75" s="66"/>
      <c r="D75" s="66"/>
      <c r="E75" s="66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15.75" customHeight="1">
      <c r="A76" s="66"/>
      <c r="B76" s="66"/>
      <c r="C76" s="66"/>
      <c r="D76" s="66"/>
      <c r="E76" s="66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15.75" customHeight="1">
      <c r="A77" s="66"/>
      <c r="B77" s="66"/>
      <c r="C77" s="66"/>
      <c r="D77" s="66"/>
      <c r="E77" s="66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15.75" customHeight="1">
      <c r="A78" s="66"/>
      <c r="B78" s="66"/>
      <c r="C78" s="66"/>
      <c r="D78" s="66"/>
      <c r="E78" s="66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15.75" customHeight="1">
      <c r="A79" s="66"/>
      <c r="B79" s="66"/>
      <c r="C79" s="66"/>
      <c r="D79" s="66"/>
      <c r="E79" s="66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15.75" customHeight="1">
      <c r="A80" s="66"/>
      <c r="B80" s="66"/>
      <c r="C80" s="66"/>
      <c r="D80" s="66"/>
      <c r="E80" s="66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15.75" customHeight="1">
      <c r="A81" s="66"/>
      <c r="B81" s="66"/>
      <c r="C81" s="66"/>
      <c r="D81" s="66"/>
      <c r="E81" s="66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15.75" customHeight="1">
      <c r="A82" s="66"/>
      <c r="B82" s="66"/>
      <c r="C82" s="66"/>
      <c r="D82" s="66"/>
      <c r="E82" s="66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15.75" customHeight="1">
      <c r="A83" s="66"/>
      <c r="B83" s="66"/>
      <c r="C83" s="66"/>
      <c r="D83" s="66"/>
      <c r="E83" s="66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15.75" customHeight="1">
      <c r="A84" s="66"/>
      <c r="B84" s="66"/>
      <c r="C84" s="66"/>
      <c r="D84" s="66"/>
      <c r="E84" s="66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15.75" customHeight="1">
      <c r="A85" s="66"/>
      <c r="B85" s="66"/>
      <c r="C85" s="66"/>
      <c r="D85" s="66"/>
      <c r="E85" s="66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15.75" customHeight="1">
      <c r="A86" s="66"/>
      <c r="B86" s="66"/>
      <c r="C86" s="66"/>
      <c r="D86" s="66"/>
      <c r="E86" s="66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15.75" customHeight="1">
      <c r="A87" s="66"/>
      <c r="B87" s="66"/>
      <c r="C87" s="66"/>
      <c r="D87" s="66"/>
      <c r="E87" s="66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15.75" customHeight="1">
      <c r="A88" s="66"/>
      <c r="B88" s="66"/>
      <c r="C88" s="66"/>
      <c r="D88" s="66"/>
      <c r="E88" s="66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15.75" customHeight="1">
      <c r="A89" s="66"/>
      <c r="B89" s="66"/>
      <c r="C89" s="66"/>
      <c r="D89" s="66"/>
      <c r="E89" s="66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15.75" customHeight="1">
      <c r="A90" s="66"/>
      <c r="B90" s="66"/>
      <c r="C90" s="66"/>
      <c r="D90" s="66"/>
      <c r="E90" s="66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15.75" customHeight="1">
      <c r="A91" s="66"/>
      <c r="B91" s="66"/>
      <c r="C91" s="66"/>
      <c r="D91" s="66"/>
      <c r="E91" s="66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15.75" customHeight="1">
      <c r="A92" s="66"/>
      <c r="B92" s="66"/>
      <c r="C92" s="66"/>
      <c r="D92" s="66"/>
      <c r="E92" s="66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15.75" customHeight="1">
      <c r="A93" s="66"/>
      <c r="B93" s="66"/>
      <c r="C93" s="66"/>
      <c r="D93" s="66"/>
      <c r="E93" s="66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15.75" customHeight="1">
      <c r="A94" s="66"/>
      <c r="B94" s="66"/>
      <c r="C94" s="66"/>
      <c r="D94" s="66"/>
      <c r="E94" s="66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15.75" customHeight="1">
      <c r="A95" s="66"/>
      <c r="B95" s="66"/>
      <c r="C95" s="66"/>
      <c r="D95" s="66"/>
      <c r="E95" s="66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15.75" customHeight="1">
      <c r="A96" s="66"/>
      <c r="B96" s="66"/>
      <c r="C96" s="66"/>
      <c r="D96" s="66"/>
      <c r="E96" s="66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15.75" customHeight="1">
      <c r="A97" s="66"/>
      <c r="B97" s="66"/>
      <c r="C97" s="66"/>
      <c r="D97" s="66"/>
      <c r="E97" s="66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15.75" customHeight="1">
      <c r="A98" s="66"/>
      <c r="B98" s="66"/>
      <c r="C98" s="66"/>
      <c r="D98" s="66"/>
      <c r="E98" s="66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15.75" customHeight="1">
      <c r="A99" s="66"/>
      <c r="B99" s="66"/>
      <c r="C99" s="66"/>
      <c r="D99" s="66"/>
      <c r="E99" s="66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15.75" customHeight="1">
      <c r="A100" s="66"/>
      <c r="B100" s="66"/>
      <c r="C100" s="66"/>
      <c r="D100" s="66"/>
      <c r="E100" s="66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15.75" customHeight="1">
      <c r="A101" s="66"/>
      <c r="B101" s="66"/>
      <c r="C101" s="66"/>
      <c r="D101" s="66"/>
      <c r="E101" s="66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15.75" customHeight="1">
      <c r="A102" s="66"/>
      <c r="B102" s="66"/>
      <c r="C102" s="66"/>
      <c r="D102" s="66"/>
      <c r="E102" s="66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15.75" customHeight="1">
      <c r="A103" s="66"/>
      <c r="B103" s="66"/>
      <c r="C103" s="66"/>
      <c r="D103" s="66"/>
      <c r="E103" s="66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15.75" customHeight="1">
      <c r="A104" s="66"/>
      <c r="B104" s="66"/>
      <c r="C104" s="66"/>
      <c r="D104" s="66"/>
      <c r="E104" s="66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15.75" customHeight="1">
      <c r="A105" s="66"/>
      <c r="B105" s="66"/>
      <c r="C105" s="66"/>
      <c r="D105" s="66"/>
      <c r="E105" s="66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15.75" customHeight="1">
      <c r="A106" s="66"/>
      <c r="B106" s="66"/>
      <c r="C106" s="66"/>
      <c r="D106" s="66"/>
      <c r="E106" s="66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15.75" customHeight="1">
      <c r="A107" s="66"/>
      <c r="B107" s="66"/>
      <c r="C107" s="66"/>
      <c r="D107" s="66"/>
      <c r="E107" s="66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15.75" customHeight="1">
      <c r="A108" s="66"/>
      <c r="B108" s="66"/>
      <c r="C108" s="66"/>
      <c r="D108" s="66"/>
      <c r="E108" s="66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15.75" customHeight="1">
      <c r="A109" s="66"/>
      <c r="B109" s="66"/>
      <c r="C109" s="66"/>
      <c r="D109" s="66"/>
      <c r="E109" s="66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15.75" customHeight="1">
      <c r="A110" s="66"/>
      <c r="B110" s="66"/>
      <c r="C110" s="66"/>
      <c r="D110" s="66"/>
      <c r="E110" s="66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15.75" customHeight="1">
      <c r="A111" s="66"/>
      <c r="B111" s="66"/>
      <c r="C111" s="66"/>
      <c r="D111" s="66"/>
      <c r="E111" s="66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15.75" customHeight="1">
      <c r="A112" s="66"/>
      <c r="B112" s="66"/>
      <c r="C112" s="66"/>
      <c r="D112" s="66"/>
      <c r="E112" s="66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15.75" customHeight="1">
      <c r="A113" s="66"/>
      <c r="B113" s="66"/>
      <c r="C113" s="66"/>
      <c r="D113" s="66"/>
      <c r="E113" s="66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15.75" customHeight="1">
      <c r="A114" s="66"/>
      <c r="B114" s="66"/>
      <c r="C114" s="66"/>
      <c r="D114" s="66"/>
      <c r="E114" s="66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15.75" customHeight="1">
      <c r="A115" s="66"/>
      <c r="B115" s="66"/>
      <c r="C115" s="66"/>
      <c r="D115" s="66"/>
      <c r="E115" s="66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15.75" customHeight="1">
      <c r="A116" s="66"/>
      <c r="B116" s="66"/>
      <c r="C116" s="66"/>
      <c r="D116" s="66"/>
      <c r="E116" s="66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15.75" customHeight="1">
      <c r="A117" s="66"/>
      <c r="B117" s="66"/>
      <c r="C117" s="66"/>
      <c r="D117" s="66"/>
      <c r="E117" s="66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15.75" customHeight="1">
      <c r="A118" s="66"/>
      <c r="B118" s="66"/>
      <c r="C118" s="66"/>
      <c r="D118" s="66"/>
      <c r="E118" s="66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15.75" customHeight="1">
      <c r="A119" s="66"/>
      <c r="B119" s="66"/>
      <c r="C119" s="66"/>
      <c r="D119" s="66"/>
      <c r="E119" s="66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15.75" customHeight="1">
      <c r="A120" s="66"/>
      <c r="B120" s="66"/>
      <c r="C120" s="66"/>
      <c r="D120" s="66"/>
      <c r="E120" s="66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15.75" customHeight="1">
      <c r="A121" s="66"/>
      <c r="B121" s="66"/>
      <c r="C121" s="66"/>
      <c r="D121" s="66"/>
      <c r="E121" s="66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15.75" customHeight="1">
      <c r="A122" s="66"/>
      <c r="B122" s="66"/>
      <c r="C122" s="66"/>
      <c r="D122" s="66"/>
      <c r="E122" s="66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15.75" customHeight="1">
      <c r="A123" s="66"/>
      <c r="B123" s="66"/>
      <c r="C123" s="66"/>
      <c r="D123" s="66"/>
      <c r="E123" s="66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15.75" customHeight="1">
      <c r="A124" s="66"/>
      <c r="B124" s="66"/>
      <c r="C124" s="66"/>
      <c r="D124" s="66"/>
      <c r="E124" s="66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15.75" customHeight="1">
      <c r="A125" s="66"/>
      <c r="B125" s="66"/>
      <c r="C125" s="66"/>
      <c r="D125" s="66"/>
      <c r="E125" s="66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15.75" customHeight="1">
      <c r="A126" s="66"/>
      <c r="B126" s="66"/>
      <c r="C126" s="66"/>
      <c r="D126" s="66"/>
      <c r="E126" s="66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15.75" customHeight="1">
      <c r="A127" s="66"/>
      <c r="B127" s="66"/>
      <c r="C127" s="66"/>
      <c r="D127" s="66"/>
      <c r="E127" s="66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15.75" customHeight="1">
      <c r="A128" s="66"/>
      <c r="B128" s="66"/>
      <c r="C128" s="66"/>
      <c r="D128" s="66"/>
      <c r="E128" s="66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15.75" customHeight="1">
      <c r="A129" s="66"/>
      <c r="B129" s="66"/>
      <c r="C129" s="66"/>
      <c r="D129" s="66"/>
      <c r="E129" s="66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15.75" customHeight="1">
      <c r="A130" s="66"/>
      <c r="B130" s="66"/>
      <c r="C130" s="66"/>
      <c r="D130" s="66"/>
      <c r="E130" s="66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15.75" customHeight="1">
      <c r="A131" s="66"/>
      <c r="B131" s="66"/>
      <c r="C131" s="66"/>
      <c r="D131" s="66"/>
      <c r="E131" s="66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15.75" customHeight="1">
      <c r="A132" s="66"/>
      <c r="B132" s="66"/>
      <c r="C132" s="66"/>
      <c r="D132" s="66"/>
      <c r="E132" s="66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15.75" customHeight="1">
      <c r="A133" s="66"/>
      <c r="B133" s="66"/>
      <c r="C133" s="66"/>
      <c r="D133" s="66"/>
      <c r="E133" s="66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15.75" customHeight="1">
      <c r="A134" s="66"/>
      <c r="B134" s="66"/>
      <c r="C134" s="66"/>
      <c r="D134" s="66"/>
      <c r="E134" s="66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15.75" customHeight="1">
      <c r="A135" s="66"/>
      <c r="B135" s="66"/>
      <c r="C135" s="66"/>
      <c r="D135" s="66"/>
      <c r="E135" s="66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15.75" customHeight="1">
      <c r="A136" s="66"/>
      <c r="B136" s="66"/>
      <c r="C136" s="66"/>
      <c r="D136" s="66"/>
      <c r="E136" s="66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15.75" customHeight="1">
      <c r="A137" s="66"/>
      <c r="B137" s="66"/>
      <c r="C137" s="66"/>
      <c r="D137" s="66"/>
      <c r="E137" s="66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15.75" customHeight="1">
      <c r="A138" s="66"/>
      <c r="B138" s="66"/>
      <c r="C138" s="66"/>
      <c r="D138" s="66"/>
      <c r="E138" s="66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15.75" customHeight="1">
      <c r="A139" s="66"/>
      <c r="B139" s="66"/>
      <c r="C139" s="66"/>
      <c r="D139" s="66"/>
      <c r="E139" s="66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15.75" customHeight="1">
      <c r="A140" s="66"/>
      <c r="B140" s="66"/>
      <c r="C140" s="66"/>
      <c r="D140" s="66"/>
      <c r="E140" s="66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15.75" customHeight="1">
      <c r="A141" s="66"/>
      <c r="B141" s="66"/>
      <c r="C141" s="66"/>
      <c r="D141" s="66"/>
      <c r="E141" s="66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15.75" customHeight="1">
      <c r="A142" s="66"/>
      <c r="B142" s="66"/>
      <c r="C142" s="66"/>
      <c r="D142" s="66"/>
      <c r="E142" s="66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ht="15.75" customHeight="1">
      <c r="A143" s="66"/>
      <c r="B143" s="66"/>
      <c r="C143" s="66"/>
      <c r="D143" s="66"/>
      <c r="E143" s="66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ht="15.75" customHeight="1">
      <c r="A144" s="66"/>
      <c r="B144" s="66"/>
      <c r="C144" s="66"/>
      <c r="D144" s="66"/>
      <c r="E144" s="66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15.75" customHeight="1">
      <c r="A145" s="66"/>
      <c r="B145" s="66"/>
      <c r="C145" s="66"/>
      <c r="D145" s="66"/>
      <c r="E145" s="66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15.75" customHeight="1">
      <c r="A146" s="66"/>
      <c r="B146" s="66"/>
      <c r="C146" s="66"/>
      <c r="D146" s="66"/>
      <c r="E146" s="66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15.75" customHeight="1">
      <c r="A147" s="66"/>
      <c r="B147" s="66"/>
      <c r="C147" s="66"/>
      <c r="D147" s="66"/>
      <c r="E147" s="66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15.75" customHeight="1">
      <c r="A148" s="66"/>
      <c r="B148" s="66"/>
      <c r="C148" s="66"/>
      <c r="D148" s="66"/>
      <c r="E148" s="66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15.75" customHeight="1">
      <c r="A149" s="66"/>
      <c r="B149" s="66"/>
      <c r="C149" s="66"/>
      <c r="D149" s="66"/>
      <c r="E149" s="66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15.75" customHeight="1">
      <c r="A150" s="66"/>
      <c r="B150" s="66"/>
      <c r="C150" s="66"/>
      <c r="D150" s="66"/>
      <c r="E150" s="66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15.75" customHeight="1">
      <c r="A151" s="66"/>
      <c r="B151" s="66"/>
      <c r="C151" s="66"/>
      <c r="D151" s="66"/>
      <c r="E151" s="66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15.75" customHeight="1">
      <c r="A152" s="66"/>
      <c r="B152" s="66"/>
      <c r="C152" s="66"/>
      <c r="D152" s="66"/>
      <c r="E152" s="66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15.75" customHeight="1">
      <c r="A153" s="66"/>
      <c r="B153" s="66"/>
      <c r="C153" s="66"/>
      <c r="D153" s="66"/>
      <c r="E153" s="66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15.75" customHeight="1">
      <c r="A154" s="66"/>
      <c r="B154" s="66"/>
      <c r="C154" s="66"/>
      <c r="D154" s="66"/>
      <c r="E154" s="66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15.75" customHeight="1">
      <c r="A155" s="66"/>
      <c r="B155" s="66"/>
      <c r="C155" s="66"/>
      <c r="D155" s="66"/>
      <c r="E155" s="66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ht="15.75" customHeight="1">
      <c r="A156" s="66"/>
      <c r="B156" s="66"/>
      <c r="C156" s="66"/>
      <c r="D156" s="66"/>
      <c r="E156" s="66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ht="15.75" customHeight="1">
      <c r="A157" s="66"/>
      <c r="B157" s="66"/>
      <c r="C157" s="66"/>
      <c r="D157" s="66"/>
      <c r="E157" s="66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ht="15.75" customHeight="1">
      <c r="A158" s="66"/>
      <c r="B158" s="66"/>
      <c r="C158" s="66"/>
      <c r="D158" s="66"/>
      <c r="E158" s="66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ht="15.75" customHeight="1">
      <c r="A159" s="66"/>
      <c r="B159" s="66"/>
      <c r="C159" s="66"/>
      <c r="D159" s="66"/>
      <c r="E159" s="66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ht="15.75" customHeight="1">
      <c r="A160" s="66"/>
      <c r="B160" s="66"/>
      <c r="C160" s="66"/>
      <c r="D160" s="66"/>
      <c r="E160" s="66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15.75" customHeight="1">
      <c r="A161" s="66"/>
      <c r="B161" s="66"/>
      <c r="C161" s="66"/>
      <c r="D161" s="66"/>
      <c r="E161" s="66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ht="15.75" customHeight="1">
      <c r="A162" s="66"/>
      <c r="B162" s="66"/>
      <c r="C162" s="66"/>
      <c r="D162" s="66"/>
      <c r="E162" s="66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ht="15.75" customHeight="1">
      <c r="A163" s="66"/>
      <c r="B163" s="66"/>
      <c r="C163" s="66"/>
      <c r="D163" s="66"/>
      <c r="E163" s="66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ht="15.75" customHeight="1">
      <c r="A164" s="66"/>
      <c r="B164" s="66"/>
      <c r="C164" s="66"/>
      <c r="D164" s="66"/>
      <c r="E164" s="66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ht="15.75" customHeight="1">
      <c r="A165" s="66"/>
      <c r="B165" s="66"/>
      <c r="C165" s="66"/>
      <c r="D165" s="66"/>
      <c r="E165" s="66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ht="15.75" customHeight="1">
      <c r="A166" s="66"/>
      <c r="B166" s="66"/>
      <c r="C166" s="66"/>
      <c r="D166" s="66"/>
      <c r="E166" s="66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ht="15.75" customHeight="1">
      <c r="A167" s="66"/>
      <c r="B167" s="66"/>
      <c r="C167" s="66"/>
      <c r="D167" s="66"/>
      <c r="E167" s="66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ht="15.75" customHeight="1">
      <c r="A168" s="66"/>
      <c r="B168" s="66"/>
      <c r="C168" s="66"/>
      <c r="D168" s="66"/>
      <c r="E168" s="66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ht="15.75" customHeight="1">
      <c r="A169" s="66"/>
      <c r="B169" s="66"/>
      <c r="C169" s="66"/>
      <c r="D169" s="66"/>
      <c r="E169" s="66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ht="15.75" customHeight="1">
      <c r="A170" s="66"/>
      <c r="B170" s="66"/>
      <c r="C170" s="66"/>
      <c r="D170" s="66"/>
      <c r="E170" s="66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ht="15.75" customHeight="1">
      <c r="A171" s="66"/>
      <c r="B171" s="66"/>
      <c r="C171" s="66"/>
      <c r="D171" s="66"/>
      <c r="E171" s="66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ht="15.75" customHeight="1">
      <c r="A172" s="66"/>
      <c r="B172" s="66"/>
      <c r="C172" s="66"/>
      <c r="D172" s="66"/>
      <c r="E172" s="66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ht="15.75" customHeight="1">
      <c r="A173" s="66"/>
      <c r="B173" s="66"/>
      <c r="C173" s="66"/>
      <c r="D173" s="66"/>
      <c r="E173" s="66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ht="15.75" customHeight="1">
      <c r="A174" s="66"/>
      <c r="B174" s="66"/>
      <c r="C174" s="66"/>
      <c r="D174" s="66"/>
      <c r="E174" s="66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15.75" customHeight="1">
      <c r="A175" s="66"/>
      <c r="B175" s="66"/>
      <c r="C175" s="66"/>
      <c r="D175" s="66"/>
      <c r="E175" s="66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ht="15.75" customHeight="1">
      <c r="A176" s="66"/>
      <c r="B176" s="66"/>
      <c r="C176" s="66"/>
      <c r="D176" s="66"/>
      <c r="E176" s="66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ht="15.75" customHeight="1">
      <c r="A177" s="66"/>
      <c r="B177" s="66"/>
      <c r="C177" s="66"/>
      <c r="D177" s="66"/>
      <c r="E177" s="66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ht="15.75" customHeight="1">
      <c r="A178" s="66"/>
      <c r="B178" s="66"/>
      <c r="C178" s="66"/>
      <c r="D178" s="66"/>
      <c r="E178" s="66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ht="15.75" customHeight="1">
      <c r="A179" s="66"/>
      <c r="B179" s="66"/>
      <c r="C179" s="66"/>
      <c r="D179" s="66"/>
      <c r="E179" s="66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ht="15.75" customHeight="1">
      <c r="A180" s="66"/>
      <c r="B180" s="66"/>
      <c r="C180" s="66"/>
      <c r="D180" s="66"/>
      <c r="E180" s="66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ht="15.75" customHeight="1">
      <c r="A181" s="66"/>
      <c r="B181" s="66"/>
      <c r="C181" s="66"/>
      <c r="D181" s="66"/>
      <c r="E181" s="66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ht="15.75" customHeight="1">
      <c r="A182" s="66"/>
      <c r="B182" s="66"/>
      <c r="C182" s="66"/>
      <c r="D182" s="66"/>
      <c r="E182" s="66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ht="15.75" customHeight="1">
      <c r="A183" s="66"/>
      <c r="B183" s="66"/>
      <c r="C183" s="66"/>
      <c r="D183" s="66"/>
      <c r="E183" s="66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ht="15.75" customHeight="1">
      <c r="A184" s="66"/>
      <c r="B184" s="66"/>
      <c r="C184" s="66"/>
      <c r="D184" s="66"/>
      <c r="E184" s="66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ht="15.75" customHeight="1">
      <c r="A185" s="66"/>
      <c r="B185" s="66"/>
      <c r="C185" s="66"/>
      <c r="D185" s="66"/>
      <c r="E185" s="66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ht="15.75" customHeight="1">
      <c r="A186" s="66"/>
      <c r="B186" s="66"/>
      <c r="C186" s="66"/>
      <c r="D186" s="66"/>
      <c r="E186" s="66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ht="15.75" customHeight="1">
      <c r="A187" s="66"/>
      <c r="B187" s="66"/>
      <c r="C187" s="66"/>
      <c r="D187" s="66"/>
      <c r="E187" s="66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ht="15.75" customHeight="1">
      <c r="A188" s="66"/>
      <c r="B188" s="66"/>
      <c r="C188" s="66"/>
      <c r="D188" s="66"/>
      <c r="E188" s="66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ht="15.75" customHeight="1">
      <c r="A189" s="66"/>
      <c r="B189" s="66"/>
      <c r="C189" s="66"/>
      <c r="D189" s="66"/>
      <c r="E189" s="66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ht="15.75" customHeight="1">
      <c r="A190" s="66"/>
      <c r="B190" s="66"/>
      <c r="C190" s="66"/>
      <c r="D190" s="66"/>
      <c r="E190" s="66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ht="15.75" customHeight="1">
      <c r="A191" s="66"/>
      <c r="B191" s="66"/>
      <c r="C191" s="66"/>
      <c r="D191" s="66"/>
      <c r="E191" s="66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ht="15.75" customHeight="1">
      <c r="A192" s="66"/>
      <c r="B192" s="66"/>
      <c r="C192" s="66"/>
      <c r="D192" s="66"/>
      <c r="E192" s="66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ht="15.75" customHeight="1">
      <c r="A193" s="66"/>
      <c r="B193" s="66"/>
      <c r="C193" s="66"/>
      <c r="D193" s="66"/>
      <c r="E193" s="66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ht="15.75" customHeight="1">
      <c r="A194" s="66"/>
      <c r="B194" s="66"/>
      <c r="C194" s="66"/>
      <c r="D194" s="66"/>
      <c r="E194" s="66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ht="15.75" customHeight="1">
      <c r="A195" s="66"/>
      <c r="B195" s="66"/>
      <c r="C195" s="66"/>
      <c r="D195" s="66"/>
      <c r="E195" s="66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ht="15.75" customHeight="1">
      <c r="A196" s="66"/>
      <c r="B196" s="66"/>
      <c r="C196" s="66"/>
      <c r="D196" s="66"/>
      <c r="E196" s="66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ht="15.75" customHeight="1">
      <c r="A197" s="66"/>
      <c r="B197" s="66"/>
      <c r="C197" s="66"/>
      <c r="D197" s="66"/>
      <c r="E197" s="66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ht="15.75" customHeight="1">
      <c r="A198" s="66"/>
      <c r="B198" s="66"/>
      <c r="C198" s="66"/>
      <c r="D198" s="66"/>
      <c r="E198" s="66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ht="15.75" customHeight="1">
      <c r="A199" s="66"/>
      <c r="B199" s="66"/>
      <c r="C199" s="66"/>
      <c r="D199" s="66"/>
      <c r="E199" s="66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ht="15.75" customHeight="1">
      <c r="A200" s="66"/>
      <c r="B200" s="66"/>
      <c r="C200" s="66"/>
      <c r="D200" s="66"/>
      <c r="E200" s="66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ht="15.75" customHeight="1">
      <c r="A201" s="66"/>
      <c r="B201" s="66"/>
      <c r="C201" s="66"/>
      <c r="D201" s="66"/>
      <c r="E201" s="66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ht="15.75" customHeight="1">
      <c r="A202" s="66"/>
      <c r="B202" s="66"/>
      <c r="C202" s="66"/>
      <c r="D202" s="66"/>
      <c r="E202" s="66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ht="15.75" customHeight="1">
      <c r="A203" s="66"/>
      <c r="B203" s="66"/>
      <c r="C203" s="66"/>
      <c r="D203" s="66"/>
      <c r="E203" s="66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ht="15.75" customHeight="1">
      <c r="A204" s="66"/>
      <c r="B204" s="66"/>
      <c r="C204" s="66"/>
      <c r="D204" s="66"/>
      <c r="E204" s="66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ht="15.75" customHeight="1">
      <c r="A205" s="66"/>
      <c r="B205" s="66"/>
      <c r="C205" s="66"/>
      <c r="D205" s="66"/>
      <c r="E205" s="66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ht="15.75" customHeight="1">
      <c r="A206" s="66"/>
      <c r="B206" s="66"/>
      <c r="C206" s="66"/>
      <c r="D206" s="66"/>
      <c r="E206" s="66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15.75" customHeight="1">
      <c r="A207" s="66"/>
      <c r="B207" s="66"/>
      <c r="C207" s="66"/>
      <c r="D207" s="66"/>
      <c r="E207" s="66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ht="15.75" customHeight="1">
      <c r="A208" s="66"/>
      <c r="B208" s="66"/>
      <c r="C208" s="66"/>
      <c r="D208" s="66"/>
      <c r="E208" s="66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ht="15.75" customHeight="1">
      <c r="A209" s="66"/>
      <c r="B209" s="66"/>
      <c r="C209" s="66"/>
      <c r="D209" s="66"/>
      <c r="E209" s="66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ht="15.75" customHeight="1">
      <c r="A210" s="66"/>
      <c r="B210" s="66"/>
      <c r="C210" s="66"/>
      <c r="D210" s="66"/>
      <c r="E210" s="66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15.75" customHeight="1">
      <c r="A211" s="66"/>
      <c r="B211" s="66"/>
      <c r="C211" s="66"/>
      <c r="D211" s="66"/>
      <c r="E211" s="66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15.75" customHeight="1">
      <c r="A212" s="66"/>
      <c r="B212" s="66"/>
      <c r="C212" s="66"/>
      <c r="D212" s="66"/>
      <c r="E212" s="66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ht="15.75" customHeight="1">
      <c r="A213" s="66"/>
      <c r="B213" s="66"/>
      <c r="C213" s="66"/>
      <c r="D213" s="66"/>
      <c r="E213" s="66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ht="15.75" customHeight="1">
      <c r="A214" s="66"/>
      <c r="B214" s="66"/>
      <c r="C214" s="66"/>
      <c r="D214" s="66"/>
      <c r="E214" s="66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ht="15.75" customHeight="1">
      <c r="A215" s="66"/>
      <c r="B215" s="66"/>
      <c r="C215" s="66"/>
      <c r="D215" s="66"/>
      <c r="E215" s="66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ht="15.75" customHeight="1">
      <c r="A216" s="66"/>
      <c r="B216" s="66"/>
      <c r="C216" s="66"/>
      <c r="D216" s="66"/>
      <c r="E216" s="66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ht="15.75" customHeight="1">
      <c r="A217" s="66"/>
      <c r="B217" s="66"/>
      <c r="C217" s="66"/>
      <c r="D217" s="66"/>
      <c r="E217" s="66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ht="15.75" customHeight="1">
      <c r="A218" s="66"/>
      <c r="B218" s="66"/>
      <c r="C218" s="66"/>
      <c r="D218" s="66"/>
      <c r="E218" s="66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ht="15.75" customHeight="1">
      <c r="A219" s="66"/>
      <c r="B219" s="66"/>
      <c r="C219" s="66"/>
      <c r="D219" s="66"/>
      <c r="E219" s="66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ht="15.75" customHeight="1">
      <c r="A220" s="66"/>
      <c r="B220" s="66"/>
      <c r="C220" s="66"/>
      <c r="D220" s="66"/>
      <c r="E220" s="66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ht="15.75" customHeight="1">
      <c r="A221" s="66"/>
      <c r="B221" s="66"/>
      <c r="C221" s="66"/>
      <c r="D221" s="66"/>
      <c r="E221" s="66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ht="15.75" customHeight="1">
      <c r="A222" s="66"/>
      <c r="B222" s="66"/>
      <c r="C222" s="66"/>
      <c r="D222" s="66"/>
      <c r="E222" s="66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ht="15.75" customHeight="1">
      <c r="A223" s="66"/>
      <c r="B223" s="66"/>
      <c r="C223" s="66"/>
      <c r="D223" s="66"/>
      <c r="E223" s="66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ht="15.75" customHeight="1">
      <c r="A224" s="66"/>
      <c r="B224" s="66"/>
      <c r="C224" s="66"/>
      <c r="D224" s="66"/>
      <c r="E224" s="66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ht="15.75" customHeight="1">
      <c r="A225" s="66"/>
      <c r="B225" s="66"/>
      <c r="C225" s="66"/>
      <c r="D225" s="66"/>
      <c r="E225" s="66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ht="15.75" customHeight="1">
      <c r="A226" s="66"/>
      <c r="B226" s="66"/>
      <c r="C226" s="66"/>
      <c r="D226" s="66"/>
      <c r="E226" s="66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ht="15.75" customHeight="1">
      <c r="A227" s="66"/>
      <c r="B227" s="66"/>
      <c r="C227" s="66"/>
      <c r="D227" s="66"/>
      <c r="E227" s="66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ht="15.75" customHeight="1">
      <c r="A228" s="66"/>
      <c r="B228" s="66"/>
      <c r="C228" s="66"/>
      <c r="D228" s="66"/>
      <c r="E228" s="66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ht="15.75" customHeight="1">
      <c r="A229" s="66"/>
      <c r="B229" s="66"/>
      <c r="C229" s="66"/>
      <c r="D229" s="66"/>
      <c r="E229" s="66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ht="15.75" customHeight="1">
      <c r="A230" s="66"/>
      <c r="B230" s="66"/>
      <c r="C230" s="66"/>
      <c r="D230" s="66"/>
      <c r="E230" s="66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ht="15.75" customHeight="1">
      <c r="A231" s="66"/>
      <c r="B231" s="66"/>
      <c r="C231" s="66"/>
      <c r="D231" s="66"/>
      <c r="E231" s="66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ht="15.75" customHeight="1">
      <c r="A232" s="66"/>
      <c r="B232" s="66"/>
      <c r="C232" s="66"/>
      <c r="D232" s="66"/>
      <c r="E232" s="66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ht="15.75" customHeight="1">
      <c r="A233" s="66"/>
      <c r="B233" s="66"/>
      <c r="C233" s="66"/>
      <c r="D233" s="66"/>
      <c r="E233" s="66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ht="15.75" customHeight="1">
      <c r="A234" s="66"/>
      <c r="B234" s="66"/>
      <c r="C234" s="66"/>
      <c r="D234" s="66"/>
      <c r="E234" s="66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A3:C3"/>
    <mergeCell ref="A31:C3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13"/>
    <col customWidth="1" min="2" max="2" width="16.0"/>
    <col customWidth="1" min="3" max="3" width="20.13"/>
    <col customWidth="1" min="4" max="4" width="19.0"/>
    <col customWidth="1" min="5" max="5" width="21.75"/>
    <col customWidth="1" min="6" max="6" width="33.25"/>
    <col customWidth="1" min="7" max="7" width="13.0"/>
    <col customWidth="1" min="8" max="8" width="15.25"/>
    <col customWidth="1" min="9" max="9" width="14.38"/>
    <col customWidth="1" min="10" max="10" width="20.25"/>
    <col customWidth="1" min="11" max="11" width="41.75"/>
    <col customWidth="1" min="12" max="12" width="13.0"/>
    <col customWidth="1" min="13" max="13" width="15.0"/>
    <col customWidth="1" min="14" max="26" width="14.38"/>
  </cols>
  <sheetData>
    <row r="1" ht="15.75" customHeight="1">
      <c r="A1" s="80" t="s">
        <v>63</v>
      </c>
      <c r="B1" s="81"/>
      <c r="C1" s="81"/>
      <c r="D1" s="82"/>
      <c r="E1" s="83"/>
      <c r="F1" s="84" t="s">
        <v>76</v>
      </c>
      <c r="G1" s="81"/>
      <c r="H1" s="81"/>
      <c r="I1" s="82"/>
      <c r="J1" s="83"/>
      <c r="K1" s="85"/>
      <c r="L1" s="85"/>
      <c r="M1" s="85"/>
      <c r="N1" s="85"/>
      <c r="O1" s="85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ht="15.75" customHeight="1">
      <c r="A2" s="86"/>
      <c r="B2" s="66"/>
      <c r="C2" s="66"/>
      <c r="D2" s="66"/>
      <c r="E2" s="87"/>
      <c r="F2" s="86"/>
      <c r="G2" s="66"/>
      <c r="H2" s="66"/>
      <c r="I2" s="66"/>
      <c r="J2" s="87"/>
      <c r="K2" s="85"/>
      <c r="L2" s="85"/>
      <c r="M2" s="85"/>
      <c r="N2" s="85"/>
      <c r="O2" s="85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ht="15.75" customHeight="1">
      <c r="A3" s="88" t="s">
        <v>77</v>
      </c>
      <c r="D3" s="66"/>
      <c r="E3" s="87"/>
      <c r="F3" s="88" t="s">
        <v>77</v>
      </c>
      <c r="I3" s="66"/>
      <c r="J3" s="87"/>
      <c r="K3" s="85"/>
      <c r="L3" s="85"/>
      <c r="M3" s="85"/>
      <c r="N3" s="85"/>
      <c r="O3" s="85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ht="15.75" customHeight="1">
      <c r="A4" s="89"/>
      <c r="B4" s="48"/>
      <c r="C4" s="48"/>
      <c r="D4" s="66"/>
      <c r="E4" s="87"/>
      <c r="F4" s="89"/>
      <c r="G4" s="48"/>
      <c r="H4" s="48"/>
      <c r="I4" s="66"/>
      <c r="J4" s="87"/>
      <c r="K4" s="85"/>
      <c r="L4" s="85"/>
      <c r="M4" s="85"/>
      <c r="N4" s="85"/>
      <c r="O4" s="85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15.75" customHeight="1">
      <c r="A5" s="90" t="s">
        <v>50</v>
      </c>
      <c r="B5" s="50"/>
      <c r="C5" s="68">
        <v>0.0</v>
      </c>
      <c r="D5" s="69">
        <v>1.0</v>
      </c>
      <c r="E5" s="87"/>
      <c r="F5" s="90" t="s">
        <v>50</v>
      </c>
      <c r="G5" s="50"/>
      <c r="H5" s="68">
        <v>0.0</v>
      </c>
      <c r="I5" s="69">
        <v>1.0</v>
      </c>
      <c r="J5" s="87"/>
      <c r="K5" s="85"/>
      <c r="L5" s="85"/>
      <c r="M5" s="85"/>
      <c r="N5" s="85"/>
      <c r="O5" s="85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15.75" customHeight="1">
      <c r="A6" s="91"/>
      <c r="B6" s="53"/>
      <c r="C6" s="48"/>
      <c r="D6" s="66"/>
      <c r="E6" s="87"/>
      <c r="F6" s="91"/>
      <c r="G6" s="53"/>
      <c r="H6" s="48"/>
      <c r="I6" s="66"/>
      <c r="J6" s="87"/>
      <c r="K6" s="85"/>
      <c r="L6" s="85"/>
      <c r="M6" s="85"/>
      <c r="N6" s="85"/>
      <c r="O6" s="85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15.75" customHeight="1">
      <c r="A7" s="91" t="s">
        <v>51</v>
      </c>
      <c r="B7" s="53"/>
      <c r="C7" s="48"/>
      <c r="D7" s="66"/>
      <c r="E7" s="87"/>
      <c r="F7" s="91" t="s">
        <v>51</v>
      </c>
      <c r="G7" s="53"/>
      <c r="H7" s="48"/>
      <c r="I7" s="66"/>
      <c r="J7" s="87"/>
      <c r="K7" s="85"/>
      <c r="L7" s="85"/>
      <c r="M7" s="85"/>
      <c r="N7" s="85"/>
      <c r="O7" s="85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ht="15.75" customHeight="1">
      <c r="A8" s="92" t="s">
        <v>52</v>
      </c>
      <c r="B8" s="55">
        <v>0.0</v>
      </c>
      <c r="C8" s="48"/>
      <c r="D8" s="66"/>
      <c r="E8" s="87"/>
      <c r="F8" s="92" t="s">
        <v>52</v>
      </c>
      <c r="G8" s="55">
        <v>0.0</v>
      </c>
      <c r="H8" s="48"/>
      <c r="I8" s="66"/>
      <c r="J8" s="87"/>
      <c r="K8" s="85"/>
      <c r="L8" s="85"/>
      <c r="M8" s="85"/>
      <c r="N8" s="85"/>
      <c r="O8" s="85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15.75" customHeight="1">
      <c r="A9" s="92" t="s">
        <v>53</v>
      </c>
      <c r="B9" s="55">
        <v>0.0</v>
      </c>
      <c r="C9" s="48"/>
      <c r="D9" s="66"/>
      <c r="E9" s="87"/>
      <c r="F9" s="92" t="s">
        <v>53</v>
      </c>
      <c r="G9" s="55">
        <v>0.0</v>
      </c>
      <c r="H9" s="48"/>
      <c r="I9" s="66"/>
      <c r="J9" s="87"/>
      <c r="K9" s="85"/>
      <c r="L9" s="85"/>
      <c r="M9" s="85"/>
      <c r="N9" s="85"/>
      <c r="O9" s="85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15.75" customHeight="1">
      <c r="A10" s="93" t="s">
        <v>54</v>
      </c>
      <c r="B10" s="56">
        <v>0.0</v>
      </c>
      <c r="C10" s="48"/>
      <c r="D10" s="66"/>
      <c r="E10" s="87"/>
      <c r="F10" s="93" t="s">
        <v>54</v>
      </c>
      <c r="G10" s="56">
        <v>0.0</v>
      </c>
      <c r="H10" s="48"/>
      <c r="I10" s="66"/>
      <c r="J10" s="87"/>
      <c r="K10" s="85"/>
      <c r="L10" s="85"/>
      <c r="M10" s="85"/>
      <c r="N10" s="85"/>
      <c r="O10" s="85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ht="15.75" customHeight="1">
      <c r="A11" s="94" t="s">
        <v>55</v>
      </c>
      <c r="B11" s="58">
        <v>0.0</v>
      </c>
      <c r="C11" s="57"/>
      <c r="D11" s="66"/>
      <c r="E11" s="87"/>
      <c r="F11" s="93" t="s">
        <v>55</v>
      </c>
      <c r="G11" s="56">
        <v>0.0</v>
      </c>
      <c r="H11" s="48"/>
      <c r="J11" s="95"/>
      <c r="K11" s="85"/>
      <c r="L11" s="85"/>
      <c r="M11" s="85"/>
      <c r="N11" s="85"/>
      <c r="O11" s="85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ht="15.75" customHeight="1">
      <c r="A12" s="89"/>
      <c r="B12" s="59"/>
      <c r="C12" s="60">
        <f>SUM(B8:B11)</f>
        <v>0</v>
      </c>
      <c r="D12" s="71" t="str">
        <f>C12/C5</f>
        <v>#DIV/0!</v>
      </c>
      <c r="E12" s="96" t="s">
        <v>65</v>
      </c>
      <c r="F12" s="93"/>
      <c r="G12" s="61"/>
      <c r="H12" s="48"/>
      <c r="J12" s="95"/>
      <c r="K12" s="85"/>
      <c r="L12" s="85"/>
      <c r="M12" s="85"/>
      <c r="N12" s="85"/>
      <c r="O12" s="85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ht="15.75" customHeight="1">
      <c r="A13" s="91"/>
      <c r="B13" s="59"/>
      <c r="C13" s="48"/>
      <c r="D13" s="73" t="s">
        <v>66</v>
      </c>
      <c r="E13" s="97" t="str">
        <f>C5/C12</f>
        <v>#DIV/0!</v>
      </c>
      <c r="F13" s="94"/>
      <c r="G13" s="98"/>
      <c r="H13" s="57"/>
      <c r="I13" s="66"/>
      <c r="J13" s="95"/>
      <c r="K13" s="85"/>
      <c r="L13" s="85"/>
      <c r="M13" s="85"/>
      <c r="N13" s="85"/>
      <c r="O13" s="85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ht="15.75" customHeight="1">
      <c r="A14" s="91"/>
      <c r="B14" s="59"/>
      <c r="C14" s="48"/>
      <c r="D14" s="66"/>
      <c r="E14" s="87"/>
      <c r="F14" s="91"/>
      <c r="G14" s="59"/>
      <c r="H14" s="60">
        <f>SUM(G8:G13)</f>
        <v>0</v>
      </c>
      <c r="I14" s="99">
        <v>0.7</v>
      </c>
      <c r="J14" s="96" t="s">
        <v>65</v>
      </c>
      <c r="K14" s="85"/>
      <c r="L14" s="85"/>
      <c r="M14" s="85"/>
      <c r="N14" s="85"/>
      <c r="O14" s="85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ht="15.75" customHeight="1">
      <c r="A15" s="91" t="s">
        <v>56</v>
      </c>
      <c r="B15" s="59"/>
      <c r="C15" s="48"/>
      <c r="D15" s="66"/>
      <c r="E15" s="100" t="s">
        <v>67</v>
      </c>
      <c r="F15" s="91"/>
      <c r="G15" s="59"/>
      <c r="H15" s="48"/>
      <c r="I15" s="73" t="s">
        <v>66</v>
      </c>
      <c r="J15" s="101" t="str">
        <f>H5/H14</f>
        <v>#DIV/0!</v>
      </c>
      <c r="K15" s="85"/>
      <c r="L15" s="85"/>
      <c r="M15" s="85"/>
      <c r="N15" s="85"/>
      <c r="O15" s="85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ht="15.75" customHeight="1">
      <c r="A16" s="92" t="s">
        <v>57</v>
      </c>
      <c r="B16" s="55">
        <v>0.0</v>
      </c>
      <c r="C16" s="48"/>
      <c r="D16" s="66"/>
      <c r="E16" s="102">
        <f>24.6/124.6</f>
        <v>0.1974317817</v>
      </c>
      <c r="F16" s="91"/>
      <c r="G16" s="59"/>
      <c r="H16" s="48"/>
      <c r="I16" s="66"/>
      <c r="J16" s="87"/>
      <c r="K16" s="85"/>
      <c r="L16" s="85"/>
      <c r="M16" s="85"/>
      <c r="N16" s="85"/>
      <c r="O16" s="85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ht="15.75" customHeight="1">
      <c r="A17" s="93" t="s">
        <v>68</v>
      </c>
      <c r="B17" s="56">
        <v>0.0</v>
      </c>
      <c r="C17" s="48"/>
      <c r="D17" s="66"/>
      <c r="E17" s="87"/>
      <c r="F17" s="91" t="s">
        <v>56</v>
      </c>
      <c r="G17" s="59"/>
      <c r="H17" s="48"/>
      <c r="I17" s="66"/>
      <c r="J17" s="100" t="s">
        <v>67</v>
      </c>
      <c r="K17" s="85"/>
      <c r="L17" s="85"/>
      <c r="M17" s="85"/>
      <c r="N17" s="85"/>
      <c r="O17" s="85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ht="15.75" customHeight="1">
      <c r="A18" s="93"/>
      <c r="B18" s="61"/>
      <c r="C18" s="48"/>
      <c r="D18" s="66"/>
      <c r="E18" s="87"/>
      <c r="F18" s="92" t="s">
        <v>57</v>
      </c>
      <c r="G18" s="55">
        <v>0.0</v>
      </c>
      <c r="H18" s="48"/>
      <c r="I18" s="66"/>
      <c r="J18" s="102">
        <f>42.9/142.9</f>
        <v>0.300209937</v>
      </c>
      <c r="K18" s="85"/>
      <c r="L18" s="85"/>
      <c r="M18" s="85"/>
      <c r="N18" s="85"/>
      <c r="O18" s="85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ht="15.75" customHeight="1">
      <c r="A19" s="94" t="s">
        <v>58</v>
      </c>
      <c r="B19" s="58">
        <v>0.0</v>
      </c>
      <c r="C19" s="57"/>
      <c r="D19" s="66"/>
      <c r="E19" s="87"/>
      <c r="F19" s="93" t="s">
        <v>68</v>
      </c>
      <c r="G19" s="56">
        <v>0.0</v>
      </c>
      <c r="H19" s="48"/>
      <c r="I19" s="66"/>
      <c r="J19" s="87"/>
      <c r="K19" s="85"/>
      <c r="L19" s="85"/>
      <c r="M19" s="85"/>
      <c r="N19" s="85"/>
      <c r="O19" s="85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15.75" customHeight="1">
      <c r="A20" s="89"/>
      <c r="B20" s="61"/>
      <c r="C20" s="60">
        <f>SUM(B16:B19)</f>
        <v>0</v>
      </c>
      <c r="D20" s="71" t="str">
        <f>C20/C5</f>
        <v>#DIV/0!</v>
      </c>
      <c r="E20" s="87"/>
      <c r="F20" s="93" t="s">
        <v>78</v>
      </c>
      <c r="G20" s="56">
        <v>0.0</v>
      </c>
      <c r="H20" s="48"/>
      <c r="I20" s="66"/>
      <c r="J20" s="87"/>
      <c r="K20" s="85"/>
      <c r="L20" s="85"/>
      <c r="M20" s="85"/>
      <c r="N20" s="85"/>
      <c r="O20" s="85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15.75" customHeight="1">
      <c r="A21" s="103"/>
      <c r="B21" s="53"/>
      <c r="C21" s="53"/>
      <c r="D21" s="73" t="s">
        <v>70</v>
      </c>
      <c r="E21" s="87"/>
      <c r="F21" s="93"/>
      <c r="G21" s="61"/>
      <c r="H21" s="48"/>
      <c r="J21" s="87"/>
      <c r="K21" s="85"/>
      <c r="L21" s="85"/>
      <c r="M21" s="85"/>
      <c r="N21" s="85"/>
      <c r="O21" s="85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15.75" customHeight="1">
      <c r="A22" s="103"/>
      <c r="B22" s="53"/>
      <c r="C22" s="53"/>
      <c r="D22" s="66"/>
      <c r="E22" s="87"/>
      <c r="F22" s="93"/>
      <c r="G22" s="61"/>
      <c r="H22" s="48"/>
      <c r="J22" s="87"/>
      <c r="K22" s="85"/>
      <c r="L22" s="85"/>
      <c r="M22" s="85"/>
      <c r="N22" s="85"/>
      <c r="O22" s="85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15.75" customHeight="1">
      <c r="A23" s="103"/>
      <c r="B23" s="53"/>
      <c r="C23" s="53"/>
      <c r="D23" s="66"/>
      <c r="E23" s="87"/>
      <c r="F23" s="94" t="s">
        <v>58</v>
      </c>
      <c r="G23" s="58">
        <v>0.0</v>
      </c>
      <c r="H23" s="57"/>
      <c r="I23" s="66"/>
      <c r="J23" s="87"/>
      <c r="K23" s="85"/>
      <c r="L23" s="85"/>
      <c r="M23" s="85"/>
      <c r="N23" s="85"/>
      <c r="O23" s="85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15.75" customHeight="1">
      <c r="A24" s="103"/>
      <c r="B24" s="53"/>
      <c r="C24" s="53"/>
      <c r="D24" s="66"/>
      <c r="E24" s="87"/>
      <c r="F24" s="89"/>
      <c r="G24" s="61"/>
      <c r="H24" s="60">
        <f>SUM(G18:G23)</f>
        <v>0</v>
      </c>
      <c r="I24" s="71" t="str">
        <f>H24/H5</f>
        <v>#DIV/0!</v>
      </c>
      <c r="J24" s="87"/>
      <c r="K24" s="85"/>
      <c r="L24" s="85"/>
      <c r="M24" s="85"/>
      <c r="N24" s="85"/>
      <c r="O24" s="85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15.75" customHeight="1">
      <c r="A25" s="91" t="s">
        <v>59</v>
      </c>
      <c r="B25" s="61"/>
      <c r="C25" s="60">
        <f t="shared" ref="C25:D25" si="1">C5-C12-C20</f>
        <v>0</v>
      </c>
      <c r="D25" s="71" t="str">
        <f t="shared" si="1"/>
        <v>#DIV/0!</v>
      </c>
      <c r="E25" s="87"/>
      <c r="F25" s="103"/>
      <c r="G25" s="53"/>
      <c r="H25" s="53"/>
      <c r="I25" s="73" t="s">
        <v>70</v>
      </c>
      <c r="J25" s="87"/>
      <c r="K25" s="85"/>
      <c r="L25" s="85"/>
      <c r="M25" s="85"/>
      <c r="N25" s="85"/>
      <c r="O25" s="85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15.75" customHeight="1">
      <c r="A26" s="104"/>
      <c r="B26" s="42"/>
      <c r="C26" s="42"/>
      <c r="D26" s="73" t="s">
        <v>73</v>
      </c>
      <c r="E26" s="87"/>
      <c r="F26" s="103"/>
      <c r="G26" s="53"/>
      <c r="H26" s="53"/>
      <c r="I26" s="66"/>
      <c r="J26" s="87"/>
      <c r="K26" s="85"/>
      <c r="L26" s="85"/>
      <c r="M26" s="85"/>
      <c r="N26" s="85"/>
      <c r="O26" s="85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15.75" customHeight="1">
      <c r="A27" s="86"/>
      <c r="B27" s="66"/>
      <c r="C27" s="66"/>
      <c r="D27" s="66"/>
      <c r="E27" s="87"/>
      <c r="F27" s="103"/>
      <c r="G27" s="53"/>
      <c r="H27" s="53"/>
      <c r="I27" s="66"/>
      <c r="J27" s="87"/>
      <c r="K27" s="85"/>
      <c r="L27" s="85"/>
      <c r="M27" s="85"/>
      <c r="N27" s="85"/>
      <c r="O27" s="85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15.75" customHeight="1">
      <c r="A28" s="86"/>
      <c r="B28" s="66"/>
      <c r="C28" s="66"/>
      <c r="D28" s="66"/>
      <c r="E28" s="96" t="s">
        <v>75</v>
      </c>
      <c r="F28" s="105"/>
      <c r="G28" s="53"/>
      <c r="H28" s="53"/>
      <c r="I28" s="66"/>
      <c r="J28" s="87"/>
      <c r="K28" s="85"/>
      <c r="L28" s="85"/>
      <c r="M28" s="85"/>
      <c r="N28" s="85"/>
      <c r="O28" s="85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15.75" customHeight="1">
      <c r="A29" s="106"/>
      <c r="B29" s="107"/>
      <c r="C29" s="107"/>
      <c r="D29" s="107"/>
      <c r="E29" s="108" t="str">
        <f>D20+D25</f>
        <v>#DIV/0!</v>
      </c>
      <c r="F29" s="91" t="s">
        <v>59</v>
      </c>
      <c r="G29" s="61"/>
      <c r="H29" s="60">
        <f t="shared" ref="H29:I29" si="2">H5-H14-H24</f>
        <v>0</v>
      </c>
      <c r="I29" s="71" t="str">
        <f t="shared" si="2"/>
        <v>#DIV/0!</v>
      </c>
      <c r="J29" s="87"/>
      <c r="K29" s="85"/>
      <c r="L29" s="85"/>
      <c r="M29" s="85"/>
      <c r="N29" s="85"/>
      <c r="O29" s="85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15.75" customHeight="1">
      <c r="A30" s="66"/>
      <c r="B30" s="66"/>
      <c r="C30" s="66"/>
      <c r="D30" s="66"/>
      <c r="E30" s="66"/>
      <c r="F30" s="104"/>
      <c r="G30" s="42"/>
      <c r="H30" s="42"/>
      <c r="I30" s="73" t="s">
        <v>73</v>
      </c>
      <c r="J30" s="87"/>
      <c r="K30" s="85"/>
      <c r="L30" s="85"/>
      <c r="M30" s="85"/>
      <c r="N30" s="85"/>
      <c r="O30" s="85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15.75" customHeight="1">
      <c r="A31" s="46" t="s">
        <v>60</v>
      </c>
      <c r="D31" s="66"/>
      <c r="E31" s="66"/>
      <c r="F31" s="86"/>
      <c r="G31" s="66"/>
      <c r="H31" s="66"/>
      <c r="I31" s="66"/>
      <c r="J31" s="87"/>
      <c r="K31" s="85"/>
      <c r="L31" s="85"/>
      <c r="M31" s="85"/>
      <c r="N31" s="85"/>
      <c r="O31" s="85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15.75" customHeight="1">
      <c r="A32" s="6"/>
      <c r="B32" s="42"/>
      <c r="C32" s="42"/>
      <c r="D32" s="66"/>
      <c r="E32" s="66"/>
      <c r="F32" s="86"/>
      <c r="G32" s="66"/>
      <c r="H32" s="66"/>
      <c r="I32" s="66"/>
      <c r="J32" s="96" t="s">
        <v>75</v>
      </c>
      <c r="K32" s="85"/>
      <c r="L32" s="85"/>
      <c r="M32" s="85"/>
      <c r="N32" s="85"/>
      <c r="O32" s="85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15.75" customHeight="1">
      <c r="A33" s="44" t="s">
        <v>61</v>
      </c>
      <c r="B33" s="42"/>
      <c r="C33" s="64">
        <v>50000.0</v>
      </c>
      <c r="D33" s="66"/>
      <c r="E33" s="66"/>
      <c r="F33" s="109" t="s">
        <v>79</v>
      </c>
      <c r="G33" s="107"/>
      <c r="H33" s="110" t="str">
        <f>H5/C5</f>
        <v>#DIV/0!</v>
      </c>
      <c r="I33" s="107"/>
      <c r="J33" s="108" t="str">
        <f>I24+I29</f>
        <v>#DIV/0!</v>
      </c>
      <c r="K33" s="85"/>
      <c r="L33" s="85"/>
      <c r="M33" s="85"/>
      <c r="N33" s="85"/>
      <c r="O33" s="85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15.75" customHeight="1">
      <c r="A34" s="44" t="s">
        <v>62</v>
      </c>
      <c r="B34" s="42"/>
      <c r="C34" s="64">
        <v>0.0</v>
      </c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15.75" customHeight="1"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15.75" customHeight="1"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15.75" customHeight="1"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15.75" customHeight="1"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15.75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15.7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C1"/>
    <mergeCell ref="F1:H1"/>
    <mergeCell ref="A3:C3"/>
    <mergeCell ref="F3:H3"/>
    <mergeCell ref="A31:C3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13"/>
    <col customWidth="1" min="2" max="2" width="16.0"/>
    <col customWidth="1" min="3" max="3" width="20.13"/>
    <col customWidth="1" min="4" max="4" width="19.0"/>
    <col customWidth="1" min="5" max="5" width="21.75"/>
    <col customWidth="1" min="6" max="6" width="33.25"/>
    <col customWidth="1" min="7" max="7" width="13.0"/>
    <col customWidth="1" min="8" max="8" width="15.25"/>
    <col customWidth="1" min="9" max="9" width="14.38"/>
    <col customWidth="1" min="10" max="10" width="20.25"/>
    <col customWidth="1" min="11" max="11" width="41.75"/>
    <col customWidth="1" min="12" max="12" width="13.88"/>
    <col customWidth="1" min="13" max="13" width="15.0"/>
    <col customWidth="1" min="14" max="26" width="14.38"/>
  </cols>
  <sheetData>
    <row r="1" ht="15.75" customHeight="1">
      <c r="A1" s="80" t="s">
        <v>63</v>
      </c>
      <c r="B1" s="81"/>
      <c r="C1" s="81"/>
      <c r="D1" s="82"/>
      <c r="E1" s="83"/>
      <c r="F1" s="84" t="s">
        <v>76</v>
      </c>
      <c r="G1" s="81"/>
      <c r="H1" s="81"/>
      <c r="I1" s="82"/>
      <c r="J1" s="83"/>
      <c r="K1" s="111" t="s">
        <v>80</v>
      </c>
      <c r="L1" s="81"/>
      <c r="M1" s="81"/>
      <c r="N1" s="82"/>
      <c r="O1" s="83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ht="15.75" customHeight="1">
      <c r="A2" s="86"/>
      <c r="B2" s="66"/>
      <c r="C2" s="66"/>
      <c r="D2" s="66"/>
      <c r="E2" s="87"/>
      <c r="F2" s="86"/>
      <c r="G2" s="66"/>
      <c r="H2" s="66"/>
      <c r="I2" s="66"/>
      <c r="J2" s="87"/>
      <c r="K2" s="86"/>
      <c r="L2" s="66"/>
      <c r="M2" s="66"/>
      <c r="N2" s="66"/>
      <c r="O2" s="87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ht="15.75" customHeight="1">
      <c r="A3" s="112" t="s">
        <v>64</v>
      </c>
      <c r="D3" s="66"/>
      <c r="E3" s="87"/>
      <c r="F3" s="112" t="s">
        <v>64</v>
      </c>
      <c r="I3" s="66"/>
      <c r="J3" s="87"/>
      <c r="K3" s="112" t="s">
        <v>64</v>
      </c>
      <c r="N3" s="66"/>
      <c r="O3" s="87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ht="15.75" customHeight="1">
      <c r="A4" s="89"/>
      <c r="B4" s="48"/>
      <c r="C4" s="48"/>
      <c r="D4" s="66"/>
      <c r="E4" s="87"/>
      <c r="F4" s="89"/>
      <c r="G4" s="48"/>
      <c r="H4" s="48"/>
      <c r="I4" s="66"/>
      <c r="J4" s="87"/>
      <c r="K4" s="89"/>
      <c r="L4" s="48"/>
      <c r="M4" s="48"/>
      <c r="N4" s="66"/>
      <c r="O4" s="87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15.75" customHeight="1">
      <c r="A5" s="90" t="s">
        <v>50</v>
      </c>
      <c r="B5" s="50"/>
      <c r="C5" s="51">
        <v>1458830.97</v>
      </c>
      <c r="D5" s="69">
        <v>1.0</v>
      </c>
      <c r="E5" s="87"/>
      <c r="F5" s="90" t="s">
        <v>50</v>
      </c>
      <c r="G5" s="50"/>
      <c r="H5" s="68">
        <v>0.0</v>
      </c>
      <c r="I5" s="69">
        <v>1.0</v>
      </c>
      <c r="J5" s="87"/>
      <c r="K5" s="90" t="s">
        <v>50</v>
      </c>
      <c r="L5" s="50"/>
      <c r="M5" s="51">
        <f>M14/N14</f>
        <v>2173238.2</v>
      </c>
      <c r="N5" s="69">
        <v>1.0</v>
      </c>
      <c r="O5" s="87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15.75" customHeight="1">
      <c r="A6" s="91"/>
      <c r="B6" s="53"/>
      <c r="C6" s="48"/>
      <c r="D6" s="66"/>
      <c r="E6" s="87"/>
      <c r="F6" s="91"/>
      <c r="G6" s="53"/>
      <c r="H6" s="48"/>
      <c r="I6" s="66"/>
      <c r="J6" s="87"/>
      <c r="K6" s="91"/>
      <c r="L6" s="53"/>
      <c r="M6" s="48"/>
      <c r="N6" s="66"/>
      <c r="O6" s="87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15.75" customHeight="1">
      <c r="A7" s="91" t="s">
        <v>51</v>
      </c>
      <c r="B7" s="53"/>
      <c r="C7" s="48"/>
      <c r="D7" s="66"/>
      <c r="E7" s="87"/>
      <c r="F7" s="91" t="s">
        <v>51</v>
      </c>
      <c r="G7" s="53"/>
      <c r="H7" s="48"/>
      <c r="I7" s="66"/>
      <c r="J7" s="87"/>
      <c r="K7" s="91" t="s">
        <v>51</v>
      </c>
      <c r="L7" s="53"/>
      <c r="M7" s="48"/>
      <c r="N7" s="66"/>
      <c r="O7" s="87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ht="15.75" customHeight="1">
      <c r="A8" s="92" t="s">
        <v>52</v>
      </c>
      <c r="B8" s="55">
        <v>0.0</v>
      </c>
      <c r="C8" s="48"/>
      <c r="D8" s="66"/>
      <c r="E8" s="87"/>
      <c r="F8" s="92" t="s">
        <v>52</v>
      </c>
      <c r="G8" s="55">
        <v>0.0</v>
      </c>
      <c r="H8" s="48"/>
      <c r="I8" s="66"/>
      <c r="J8" s="87"/>
      <c r="K8" s="92" t="s">
        <v>52</v>
      </c>
      <c r="L8" s="113">
        <f>138204.42</f>
        <v>138204.42</v>
      </c>
      <c r="M8" s="48"/>
      <c r="N8" s="66"/>
      <c r="O8" s="87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15.75" customHeight="1">
      <c r="A9" s="92" t="s">
        <v>53</v>
      </c>
      <c r="B9" s="55">
        <v>0.0</v>
      </c>
      <c r="C9" s="48"/>
      <c r="D9" s="66"/>
      <c r="E9" s="87"/>
      <c r="F9" s="92" t="s">
        <v>53</v>
      </c>
      <c r="G9" s="55">
        <v>0.0</v>
      </c>
      <c r="H9" s="48"/>
      <c r="I9" s="66"/>
      <c r="J9" s="87"/>
      <c r="K9" s="92" t="s">
        <v>53</v>
      </c>
      <c r="L9" s="113">
        <f>387938.75</f>
        <v>387938.75</v>
      </c>
      <c r="M9" s="48"/>
      <c r="N9" s="66"/>
      <c r="O9" s="87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15.75" customHeight="1">
      <c r="A10" s="93" t="s">
        <v>54</v>
      </c>
      <c r="B10" s="56">
        <v>0.0</v>
      </c>
      <c r="C10" s="48"/>
      <c r="D10" s="66"/>
      <c r="E10" s="87"/>
      <c r="F10" s="93" t="s">
        <v>54</v>
      </c>
      <c r="G10" s="56">
        <v>0.0</v>
      </c>
      <c r="H10" s="48"/>
      <c r="I10" s="66"/>
      <c r="J10" s="87"/>
      <c r="K10" s="93" t="s">
        <v>54</v>
      </c>
      <c r="L10" s="61">
        <f>640123.57</f>
        <v>640123.57</v>
      </c>
      <c r="M10" s="48"/>
      <c r="N10" s="66"/>
      <c r="O10" s="87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ht="15.75" customHeight="1">
      <c r="A11" s="94" t="s">
        <v>55</v>
      </c>
      <c r="B11" s="58">
        <v>0.0</v>
      </c>
      <c r="C11" s="57"/>
      <c r="D11" s="66"/>
      <c r="E11" s="87"/>
      <c r="F11" s="93" t="s">
        <v>55</v>
      </c>
      <c r="G11" s="56">
        <v>0.0</v>
      </c>
      <c r="H11" s="48"/>
      <c r="J11" s="95"/>
      <c r="K11" s="93" t="s">
        <v>55</v>
      </c>
      <c r="L11" s="61">
        <f>5000</f>
        <v>5000</v>
      </c>
      <c r="M11" s="48"/>
      <c r="O11" s="95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ht="15.75" customHeight="1">
      <c r="A12" s="89"/>
      <c r="B12" s="59"/>
      <c r="C12" s="60">
        <f>SUM(B8:B11)</f>
        <v>0</v>
      </c>
      <c r="D12" s="71">
        <f>C12/C5</f>
        <v>0</v>
      </c>
      <c r="E12" s="96" t="s">
        <v>65</v>
      </c>
      <c r="F12" s="93"/>
      <c r="G12" s="61"/>
      <c r="H12" s="48"/>
      <c r="J12" s="95"/>
      <c r="K12" s="114" t="s">
        <v>81</v>
      </c>
      <c r="L12" s="61">
        <v>350000.0</v>
      </c>
      <c r="M12" s="48"/>
      <c r="O12" s="95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ht="15.75" customHeight="1">
      <c r="A13" s="91"/>
      <c r="B13" s="59"/>
      <c r="C13" s="48"/>
      <c r="D13" s="73" t="s">
        <v>66</v>
      </c>
      <c r="E13" s="97" t="str">
        <f>C5/C12</f>
        <v>#DIV/0!</v>
      </c>
      <c r="F13" s="94"/>
      <c r="G13" s="98"/>
      <c r="H13" s="57"/>
      <c r="I13" s="66"/>
      <c r="J13" s="95"/>
      <c r="K13" s="94"/>
      <c r="L13" s="98"/>
      <c r="M13" s="57"/>
      <c r="N13" s="66"/>
      <c r="O13" s="87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ht="15.75" customHeight="1">
      <c r="A14" s="91"/>
      <c r="B14" s="59"/>
      <c r="C14" s="48"/>
      <c r="D14" s="66"/>
      <c r="E14" s="87"/>
      <c r="F14" s="89"/>
      <c r="G14" s="59"/>
      <c r="H14" s="60">
        <f>SUM(G8:G13)</f>
        <v>0</v>
      </c>
      <c r="I14" s="99">
        <v>0.7</v>
      </c>
      <c r="J14" s="96" t="s">
        <v>65</v>
      </c>
      <c r="K14" s="89"/>
      <c r="L14" s="59"/>
      <c r="M14" s="60">
        <f>SUM(L8:L13)</f>
        <v>1521266.74</v>
      </c>
      <c r="N14" s="99">
        <v>0.7</v>
      </c>
      <c r="O14" s="96" t="s">
        <v>65</v>
      </c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ht="15.75" customHeight="1">
      <c r="A15" s="91" t="s">
        <v>56</v>
      </c>
      <c r="B15" s="59"/>
      <c r="C15" s="48"/>
      <c r="D15" s="66"/>
      <c r="E15" s="100" t="s">
        <v>67</v>
      </c>
      <c r="F15" s="91"/>
      <c r="G15" s="59"/>
      <c r="H15" s="48"/>
      <c r="I15" s="73" t="s">
        <v>66</v>
      </c>
      <c r="J15" s="97" t="str">
        <f>H5/H14</f>
        <v>#DIV/0!</v>
      </c>
      <c r="K15" s="91"/>
      <c r="L15" s="59"/>
      <c r="M15" s="48"/>
      <c r="N15" s="73" t="s">
        <v>66</v>
      </c>
      <c r="O15" s="97">
        <f>M5/M14</f>
        <v>1.428571429</v>
      </c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ht="15.75" customHeight="1">
      <c r="A16" s="92" t="s">
        <v>57</v>
      </c>
      <c r="B16" s="55">
        <v>0.0</v>
      </c>
      <c r="C16" s="48"/>
      <c r="D16" s="66"/>
      <c r="E16" s="102">
        <f>24.6/124.6</f>
        <v>0.1974317817</v>
      </c>
      <c r="F16" s="91"/>
      <c r="G16" s="59"/>
      <c r="H16" s="48"/>
      <c r="I16" s="66"/>
      <c r="J16" s="87"/>
      <c r="K16" s="91"/>
      <c r="L16" s="59"/>
      <c r="M16" s="48"/>
      <c r="N16" s="66"/>
      <c r="O16" s="87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ht="15.75" customHeight="1">
      <c r="A17" s="93" t="s">
        <v>68</v>
      </c>
      <c r="B17" s="56">
        <v>0.0</v>
      </c>
      <c r="C17" s="48"/>
      <c r="D17" s="66"/>
      <c r="E17" s="87"/>
      <c r="F17" s="91" t="s">
        <v>56</v>
      </c>
      <c r="G17" s="59"/>
      <c r="H17" s="48"/>
      <c r="I17" s="66"/>
      <c r="J17" s="100" t="s">
        <v>67</v>
      </c>
      <c r="K17" s="91" t="s">
        <v>56</v>
      </c>
      <c r="L17" s="59"/>
      <c r="M17" s="48"/>
      <c r="N17" s="66"/>
      <c r="O17" s="100" t="s">
        <v>67</v>
      </c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ht="15.75" customHeight="1">
      <c r="A18" s="93"/>
      <c r="B18" s="61"/>
      <c r="C18" s="48"/>
      <c r="D18" s="66"/>
      <c r="E18" s="87"/>
      <c r="F18" s="92" t="s">
        <v>57</v>
      </c>
      <c r="G18" s="55">
        <v>0.0</v>
      </c>
      <c r="H18" s="48"/>
      <c r="I18" s="66"/>
      <c r="J18" s="102">
        <f>42.9/142.9</f>
        <v>0.300209937</v>
      </c>
      <c r="K18" s="92" t="s">
        <v>57</v>
      </c>
      <c r="L18" s="113">
        <v>12905.86</v>
      </c>
      <c r="M18" s="48"/>
      <c r="N18" s="66"/>
      <c r="O18" s="102">
        <f>42.9/142.9</f>
        <v>0.300209937</v>
      </c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ht="15.75" customHeight="1">
      <c r="A19" s="94" t="s">
        <v>58</v>
      </c>
      <c r="B19" s="58">
        <v>0.0</v>
      </c>
      <c r="C19" s="57"/>
      <c r="D19" s="66"/>
      <c r="E19" s="87"/>
      <c r="F19" s="93" t="s">
        <v>68</v>
      </c>
      <c r="G19" s="56">
        <v>0.0</v>
      </c>
      <c r="H19" s="48"/>
      <c r="I19" s="66"/>
      <c r="J19" s="87"/>
      <c r="K19" s="93" t="s">
        <v>68</v>
      </c>
      <c r="L19" s="61">
        <v>50000.0</v>
      </c>
      <c r="M19" s="48"/>
      <c r="N19" s="66"/>
      <c r="O19" s="87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15.75" customHeight="1">
      <c r="A20" s="89"/>
      <c r="B20" s="61"/>
      <c r="C20" s="60">
        <f>SUM(B16:B19)</f>
        <v>0</v>
      </c>
      <c r="D20" s="71">
        <f>C20/C5</f>
        <v>0</v>
      </c>
      <c r="E20" s="87"/>
      <c r="F20" s="93" t="s">
        <v>78</v>
      </c>
      <c r="G20" s="56">
        <v>0.0</v>
      </c>
      <c r="H20" s="48"/>
      <c r="I20" s="66"/>
      <c r="J20" s="87"/>
      <c r="K20" s="93" t="s">
        <v>78</v>
      </c>
      <c r="L20" s="61">
        <v>80000.0</v>
      </c>
      <c r="M20" s="48"/>
      <c r="N20" s="66"/>
      <c r="O20" s="87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15.75" customHeight="1">
      <c r="A21" s="103"/>
      <c r="B21" s="53"/>
      <c r="C21" s="53"/>
      <c r="D21" s="73" t="s">
        <v>70</v>
      </c>
      <c r="E21" s="87"/>
      <c r="F21" s="93"/>
      <c r="G21" s="61"/>
      <c r="H21" s="48"/>
      <c r="J21" s="87"/>
      <c r="K21" s="93" t="s">
        <v>82</v>
      </c>
      <c r="L21" s="61">
        <v>70000.0</v>
      </c>
      <c r="M21" s="48" t="s">
        <v>83</v>
      </c>
      <c r="O21" s="87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15.75" customHeight="1">
      <c r="A22" s="103"/>
      <c r="B22" s="53"/>
      <c r="C22" s="53"/>
      <c r="D22" s="66"/>
      <c r="E22" s="87"/>
      <c r="F22" s="93"/>
      <c r="G22" s="61"/>
      <c r="H22" s="48"/>
      <c r="J22" s="87"/>
      <c r="K22" s="93" t="s">
        <v>82</v>
      </c>
      <c r="L22" s="61">
        <v>15000.0</v>
      </c>
      <c r="M22" s="48" t="s">
        <v>84</v>
      </c>
      <c r="O22" s="87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15.75" customHeight="1">
      <c r="A23" s="103"/>
      <c r="B23" s="53"/>
      <c r="C23" s="53"/>
      <c r="D23" s="66"/>
      <c r="E23" s="87"/>
      <c r="F23" s="94" t="s">
        <v>58</v>
      </c>
      <c r="G23" s="58">
        <v>0.0</v>
      </c>
      <c r="H23" s="57"/>
      <c r="I23" s="66"/>
      <c r="J23" s="87"/>
      <c r="K23" s="94" t="s">
        <v>58</v>
      </c>
      <c r="L23" s="98">
        <v>224658.37</v>
      </c>
      <c r="M23" s="57"/>
      <c r="N23" s="66"/>
      <c r="O23" s="87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15.75" customHeight="1">
      <c r="A24" s="103"/>
      <c r="B24" s="53"/>
      <c r="C24" s="53"/>
      <c r="D24" s="66"/>
      <c r="E24" s="87"/>
      <c r="F24" s="89"/>
      <c r="G24" s="61"/>
      <c r="H24" s="62">
        <v>0.0</v>
      </c>
      <c r="I24" s="71" t="str">
        <f>H24/H5</f>
        <v>#DIV/0!</v>
      </c>
      <c r="J24" s="87"/>
      <c r="K24" s="89"/>
      <c r="L24" s="61"/>
      <c r="M24" s="60">
        <f>SUM(L18:L23)</f>
        <v>452564.23</v>
      </c>
      <c r="N24" s="71">
        <f>M24/M5</f>
        <v>0.2082441906</v>
      </c>
      <c r="O24" s="87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15.75" customHeight="1">
      <c r="A25" s="91" t="s">
        <v>59</v>
      </c>
      <c r="B25" s="61"/>
      <c r="C25" s="62">
        <v>0.0</v>
      </c>
      <c r="D25" s="71">
        <f>D5-D12-D20</f>
        <v>1</v>
      </c>
      <c r="E25" s="87"/>
      <c r="F25" s="103"/>
      <c r="G25" s="53"/>
      <c r="H25" s="53"/>
      <c r="I25" s="73" t="s">
        <v>70</v>
      </c>
      <c r="J25" s="87"/>
      <c r="K25" s="103"/>
      <c r="L25" s="53"/>
      <c r="M25" s="53"/>
      <c r="N25" s="73" t="s">
        <v>70</v>
      </c>
      <c r="O25" s="87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15.75" customHeight="1">
      <c r="A26" s="104"/>
      <c r="B26" s="42"/>
      <c r="C26" s="42"/>
      <c r="D26" s="73" t="s">
        <v>73</v>
      </c>
      <c r="E26" s="87"/>
      <c r="F26" s="103"/>
      <c r="G26" s="53"/>
      <c r="H26" s="53"/>
      <c r="I26" s="66"/>
      <c r="J26" s="87"/>
      <c r="K26" s="103"/>
      <c r="L26" s="53"/>
      <c r="M26" s="53"/>
      <c r="N26" s="66"/>
      <c r="O26" s="87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15.75" customHeight="1">
      <c r="A27" s="86"/>
      <c r="B27" s="66"/>
      <c r="C27" s="66"/>
      <c r="D27" s="66"/>
      <c r="E27" s="87"/>
      <c r="F27" s="103"/>
      <c r="G27" s="53"/>
      <c r="H27" s="53"/>
      <c r="I27" s="66"/>
      <c r="J27" s="87"/>
      <c r="K27" s="103"/>
      <c r="L27" s="53"/>
      <c r="M27" s="53"/>
      <c r="N27" s="66"/>
      <c r="O27" s="87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15.75" customHeight="1">
      <c r="A28" s="86"/>
      <c r="B28" s="66"/>
      <c r="C28" s="66"/>
      <c r="D28" s="66"/>
      <c r="E28" s="96" t="s">
        <v>75</v>
      </c>
      <c r="F28" s="103"/>
      <c r="G28" s="53"/>
      <c r="H28" s="53"/>
      <c r="I28" s="66"/>
      <c r="J28" s="87"/>
      <c r="K28" s="103"/>
      <c r="L28" s="53"/>
      <c r="M28" s="53"/>
      <c r="N28" s="66"/>
      <c r="O28" s="87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15.75" customHeight="1">
      <c r="A29" s="106"/>
      <c r="B29" s="107"/>
      <c r="C29" s="107"/>
      <c r="D29" s="107"/>
      <c r="E29" s="108">
        <f>D20+D25</f>
        <v>1</v>
      </c>
      <c r="F29" s="91" t="s">
        <v>59</v>
      </c>
      <c r="G29" s="61"/>
      <c r="H29" s="60">
        <f t="shared" ref="H29:I29" si="1">H5-H14-H24</f>
        <v>0</v>
      </c>
      <c r="I29" s="71" t="str">
        <f t="shared" si="1"/>
        <v>#DIV/0!</v>
      </c>
      <c r="J29" s="87"/>
      <c r="K29" s="91" t="s">
        <v>59</v>
      </c>
      <c r="L29" s="61"/>
      <c r="M29" s="60">
        <f t="shared" ref="M29:N29" si="2">M5-M14-M24</f>
        <v>199407.23</v>
      </c>
      <c r="N29" s="71">
        <f t="shared" si="2"/>
        <v>0.09175580937</v>
      </c>
      <c r="O29" s="87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15.75" customHeight="1">
      <c r="A30" s="66"/>
      <c r="B30" s="66"/>
      <c r="C30" s="66"/>
      <c r="D30" s="66"/>
      <c r="E30" s="66"/>
      <c r="F30" s="104"/>
      <c r="G30" s="42"/>
      <c r="H30" s="42"/>
      <c r="I30" s="73" t="s">
        <v>73</v>
      </c>
      <c r="J30" s="87"/>
      <c r="K30" s="104"/>
      <c r="L30" s="42"/>
      <c r="M30" s="42"/>
      <c r="N30" s="73" t="s">
        <v>73</v>
      </c>
      <c r="O30" s="87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15.75" customHeight="1">
      <c r="A31" s="46" t="s">
        <v>60</v>
      </c>
      <c r="D31" s="66"/>
      <c r="E31" s="66"/>
      <c r="F31" s="86"/>
      <c r="G31" s="66"/>
      <c r="H31" s="66"/>
      <c r="I31" s="66"/>
      <c r="J31" s="87"/>
      <c r="K31" s="86"/>
      <c r="L31" s="66"/>
      <c r="M31" s="66"/>
      <c r="N31" s="66"/>
      <c r="O31" s="87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15.75" customHeight="1">
      <c r="A32" s="6"/>
      <c r="B32" s="42"/>
      <c r="C32" s="42"/>
      <c r="D32" s="66"/>
      <c r="E32" s="66"/>
      <c r="F32" s="86"/>
      <c r="G32" s="66"/>
      <c r="H32" s="66"/>
      <c r="I32" s="66"/>
      <c r="J32" s="96" t="s">
        <v>75</v>
      </c>
      <c r="K32" s="86"/>
      <c r="L32" s="66"/>
      <c r="M32" s="66"/>
      <c r="N32" s="66"/>
      <c r="O32" s="96" t="s">
        <v>75</v>
      </c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15.75" customHeight="1">
      <c r="A33" s="44" t="s">
        <v>61</v>
      </c>
      <c r="B33" s="42"/>
      <c r="C33" s="63">
        <v>0.0</v>
      </c>
      <c r="D33" s="66"/>
      <c r="E33" s="66"/>
      <c r="F33" s="109" t="s">
        <v>79</v>
      </c>
      <c r="G33" s="107"/>
      <c r="H33" s="110">
        <f>H5/C5</f>
        <v>0</v>
      </c>
      <c r="I33" s="107"/>
      <c r="J33" s="108" t="str">
        <f>I24+I29</f>
        <v>#DIV/0!</v>
      </c>
      <c r="K33" s="106"/>
      <c r="L33" s="107"/>
      <c r="M33" s="107"/>
      <c r="N33" s="107"/>
      <c r="O33" s="108">
        <f>N24+N29</f>
        <v>0.3</v>
      </c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15.75" customHeight="1">
      <c r="A34" s="44" t="s">
        <v>62</v>
      </c>
      <c r="B34" s="42"/>
      <c r="C34" s="64">
        <v>0.0</v>
      </c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15.75" customHeight="1"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15.75" customHeight="1"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15.75" customHeight="1"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15.75" customHeight="1"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15.75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15.7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F1:H1"/>
    <mergeCell ref="K1:M1"/>
    <mergeCell ref="A3:C3"/>
    <mergeCell ref="F3:H3"/>
    <mergeCell ref="K3:M3"/>
    <mergeCell ref="A31:C3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14.38"/>
    <col customWidth="1" min="3" max="3" width="21.0"/>
    <col customWidth="1" min="4" max="4" width="14.38"/>
    <col customWidth="1" min="5" max="5" width="33.0"/>
    <col customWidth="1" min="6" max="6" width="18.63"/>
    <col customWidth="1" min="7" max="7" width="16.75"/>
    <col customWidth="1" min="8" max="8" width="20.25"/>
    <col customWidth="1" min="9" max="26" width="14.38"/>
  </cols>
  <sheetData>
    <row r="1" ht="15.75" customHeight="1">
      <c r="A1" s="115" t="s">
        <v>85</v>
      </c>
      <c r="B1" s="81"/>
      <c r="C1" s="116"/>
      <c r="E1" s="117" t="s">
        <v>86</v>
      </c>
      <c r="F1" s="81"/>
      <c r="G1" s="81"/>
      <c r="H1" s="116"/>
    </row>
    <row r="2" ht="15.75" customHeight="1">
      <c r="A2" s="118"/>
      <c r="C2" s="119"/>
      <c r="E2" s="118"/>
      <c r="H2" s="119"/>
    </row>
    <row r="3" ht="15.75" customHeight="1">
      <c r="A3" s="112" t="s">
        <v>49</v>
      </c>
      <c r="C3" s="119"/>
      <c r="E3" s="120"/>
      <c r="F3" s="121" t="s">
        <v>1</v>
      </c>
      <c r="G3" s="122"/>
      <c r="H3" s="123" t="s">
        <v>87</v>
      </c>
    </row>
    <row r="4" ht="15.75" customHeight="1">
      <c r="A4" s="89"/>
      <c r="B4" s="48"/>
      <c r="C4" s="124"/>
      <c r="E4" s="125" t="s">
        <v>9</v>
      </c>
      <c r="F4" s="126">
        <f>C5</f>
        <v>0</v>
      </c>
      <c r="G4" s="127">
        <v>1.0</v>
      </c>
      <c r="H4" s="128" t="s">
        <v>10</v>
      </c>
    </row>
    <row r="5" ht="15.75" customHeight="1">
      <c r="A5" s="90" t="s">
        <v>50</v>
      </c>
      <c r="B5" s="50"/>
      <c r="C5" s="129">
        <v>0.0</v>
      </c>
      <c r="E5" s="125" t="s">
        <v>17</v>
      </c>
      <c r="F5" s="130">
        <f>B9+B10</f>
        <v>0</v>
      </c>
      <c r="G5" s="127" t="str">
        <f>F5/F4</f>
        <v>#DIV/0!</v>
      </c>
      <c r="H5" s="128"/>
    </row>
    <row r="6" ht="15.75" customHeight="1">
      <c r="A6" s="91"/>
      <c r="B6" s="53"/>
      <c r="C6" s="124"/>
      <c r="E6" s="131" t="s">
        <v>25</v>
      </c>
      <c r="F6" s="34">
        <f>F4-F5</f>
        <v>0</v>
      </c>
      <c r="G6" s="127"/>
      <c r="H6" s="128"/>
    </row>
    <row r="7" ht="15.75" customHeight="1">
      <c r="A7" s="91" t="s">
        <v>51</v>
      </c>
      <c r="B7" s="53"/>
      <c r="C7" s="124"/>
      <c r="E7" s="125" t="s">
        <v>26</v>
      </c>
      <c r="F7" s="32">
        <v>0.0</v>
      </c>
      <c r="G7" s="127">
        <v>0.0</v>
      </c>
      <c r="H7" s="128" t="s">
        <v>27</v>
      </c>
    </row>
    <row r="8" ht="15.75" customHeight="1">
      <c r="A8" s="92" t="s">
        <v>52</v>
      </c>
      <c r="B8" s="55">
        <v>0.0</v>
      </c>
      <c r="C8" s="124"/>
      <c r="E8" s="125" t="s">
        <v>29</v>
      </c>
      <c r="F8" s="32">
        <v>0.0</v>
      </c>
      <c r="G8" s="127">
        <v>0.0</v>
      </c>
      <c r="H8" s="128" t="s">
        <v>30</v>
      </c>
    </row>
    <row r="9" ht="15.75" customHeight="1">
      <c r="A9" s="92" t="s">
        <v>53</v>
      </c>
      <c r="B9" s="55">
        <v>0.0</v>
      </c>
      <c r="C9" s="124"/>
      <c r="E9" s="125" t="s">
        <v>31</v>
      </c>
      <c r="F9" s="38">
        <v>0.0</v>
      </c>
      <c r="G9" s="127" t="str">
        <f>F9/F4</f>
        <v>#DIV/0!</v>
      </c>
      <c r="H9" s="128" t="s">
        <v>32</v>
      </c>
    </row>
    <row r="10" ht="15.75" customHeight="1">
      <c r="A10" s="93" t="s">
        <v>54</v>
      </c>
      <c r="B10" s="56">
        <v>0.0</v>
      </c>
      <c r="C10" s="124"/>
      <c r="E10" s="125" t="s">
        <v>33</v>
      </c>
      <c r="F10" s="132">
        <v>0.0</v>
      </c>
      <c r="G10" s="127" t="str">
        <f>F10/F4</f>
        <v>#DIV/0!</v>
      </c>
      <c r="H10" s="128"/>
    </row>
    <row r="11" ht="15.75" customHeight="1">
      <c r="A11" s="94" t="s">
        <v>55</v>
      </c>
      <c r="B11" s="58">
        <v>0.0</v>
      </c>
      <c r="C11" s="133"/>
      <c r="E11" s="134" t="s">
        <v>34</v>
      </c>
      <c r="F11" s="135"/>
      <c r="G11" s="136" t="str">
        <f>G10+G5</f>
        <v>#DIV/0!</v>
      </c>
      <c r="H11" s="137" t="s">
        <v>35</v>
      </c>
    </row>
    <row r="12" ht="15.75" customHeight="1">
      <c r="A12" s="89"/>
      <c r="B12" s="59"/>
      <c r="C12" s="138">
        <v>0.0</v>
      </c>
    </row>
    <row r="13" ht="15.75" customHeight="1">
      <c r="A13" s="91" t="s">
        <v>56</v>
      </c>
      <c r="B13" s="59"/>
      <c r="C13" s="124"/>
    </row>
    <row r="14" ht="15.75" customHeight="1">
      <c r="A14" s="92" t="s">
        <v>57</v>
      </c>
      <c r="B14" s="55">
        <v>0.0</v>
      </c>
      <c r="C14" s="124"/>
    </row>
    <row r="15" ht="15.75" customHeight="1">
      <c r="A15" s="94" t="s">
        <v>58</v>
      </c>
      <c r="B15" s="58">
        <v>0.0</v>
      </c>
      <c r="C15" s="133"/>
    </row>
    <row r="16" ht="15.75" customHeight="1">
      <c r="A16" s="89"/>
      <c r="B16" s="61"/>
      <c r="C16" s="139">
        <f>SUM(B14:B15)</f>
        <v>0</v>
      </c>
      <c r="E16" s="140" t="s">
        <v>88</v>
      </c>
    </row>
    <row r="17" ht="15.75" customHeight="1">
      <c r="A17" s="103"/>
      <c r="B17" s="53"/>
      <c r="C17" s="141"/>
      <c r="E17" s="142"/>
      <c r="F17" s="143" t="s">
        <v>89</v>
      </c>
      <c r="G17" s="143" t="s">
        <v>90</v>
      </c>
      <c r="H17" s="144" t="s">
        <v>91</v>
      </c>
      <c r="I17" s="144" t="s">
        <v>92</v>
      </c>
      <c r="J17" s="144" t="s">
        <v>93</v>
      </c>
      <c r="K17" s="144" t="s">
        <v>94</v>
      </c>
    </row>
    <row r="18" ht="15.75" customHeight="1">
      <c r="A18" s="91" t="s">
        <v>59</v>
      </c>
      <c r="B18" s="61"/>
      <c r="C18" s="139">
        <f>C5-C12-C16</f>
        <v>0</v>
      </c>
      <c r="E18" s="145" t="s">
        <v>50</v>
      </c>
      <c r="F18" s="146">
        <v>1.0</v>
      </c>
      <c r="G18" s="146">
        <v>1.0</v>
      </c>
      <c r="H18" s="146">
        <v>1.0</v>
      </c>
      <c r="I18" s="146">
        <v>1.0</v>
      </c>
      <c r="J18" s="146">
        <v>1.0</v>
      </c>
      <c r="K18" s="146">
        <v>1.0</v>
      </c>
    </row>
    <row r="19" ht="15.75" customHeight="1">
      <c r="A19" s="104"/>
      <c r="B19" s="42"/>
      <c r="C19" s="147"/>
      <c r="E19" s="148" t="s">
        <v>95</v>
      </c>
      <c r="F19" s="149">
        <v>0.0</v>
      </c>
      <c r="G19" s="149">
        <v>0.01</v>
      </c>
      <c r="H19" s="149">
        <v>0.02</v>
      </c>
      <c r="I19" s="149">
        <v>0.03</v>
      </c>
      <c r="J19" s="149">
        <v>0.05</v>
      </c>
      <c r="K19" s="149">
        <v>0.06</v>
      </c>
    </row>
    <row r="20" ht="15.75" customHeight="1">
      <c r="A20" s="150" t="s">
        <v>60</v>
      </c>
      <c r="B20" s="151"/>
      <c r="C20" s="152"/>
      <c r="E20" s="148" t="s">
        <v>29</v>
      </c>
      <c r="F20" s="149">
        <v>0.0</v>
      </c>
      <c r="G20" s="149">
        <v>0.01</v>
      </c>
      <c r="H20" s="149">
        <v>0.02</v>
      </c>
      <c r="I20" s="149">
        <v>0.03</v>
      </c>
      <c r="J20" s="149">
        <v>0.04</v>
      </c>
      <c r="K20" s="149">
        <v>0.04</v>
      </c>
    </row>
    <row r="21" ht="15.75" customHeight="1">
      <c r="A21" s="104"/>
      <c r="B21" s="42"/>
      <c r="C21" s="147"/>
      <c r="E21" s="145" t="s">
        <v>96</v>
      </c>
      <c r="F21" s="149">
        <v>0.04</v>
      </c>
      <c r="G21" s="149">
        <v>0.04</v>
      </c>
      <c r="H21" s="149">
        <v>0.05</v>
      </c>
      <c r="I21" s="149">
        <v>0.06</v>
      </c>
      <c r="J21" s="149">
        <v>0.07</v>
      </c>
      <c r="K21" s="149">
        <v>0.08</v>
      </c>
    </row>
    <row r="22" ht="15.75" customHeight="1">
      <c r="A22" s="153" t="s">
        <v>61</v>
      </c>
      <c r="B22" s="42"/>
      <c r="C22" s="154">
        <v>50000.0</v>
      </c>
      <c r="E22" s="145" t="s">
        <v>97</v>
      </c>
      <c r="F22" s="149">
        <v>0.96</v>
      </c>
      <c r="G22" s="149">
        <v>0.94</v>
      </c>
      <c r="H22" s="149">
        <v>0.91</v>
      </c>
      <c r="I22" s="149">
        <v>0.88</v>
      </c>
      <c r="J22" s="149">
        <v>0.84</v>
      </c>
      <c r="K22" s="149">
        <v>0.82</v>
      </c>
    </row>
    <row r="23" ht="15.75" customHeight="1">
      <c r="A23" s="155" t="s">
        <v>62</v>
      </c>
      <c r="B23" s="156"/>
      <c r="C23" s="157">
        <v>0.0</v>
      </c>
      <c r="E23" s="158" t="s">
        <v>98</v>
      </c>
      <c r="F23" s="159">
        <f t="shared" ref="F23:K23" si="1">SUM(F19:F22)</f>
        <v>1</v>
      </c>
      <c r="G23" s="159">
        <f t="shared" si="1"/>
        <v>1</v>
      </c>
      <c r="H23" s="159">
        <f t="shared" si="1"/>
        <v>1</v>
      </c>
      <c r="I23" s="159">
        <f t="shared" si="1"/>
        <v>1</v>
      </c>
      <c r="J23" s="159">
        <f t="shared" si="1"/>
        <v>1</v>
      </c>
      <c r="K23" s="159">
        <f t="shared" si="1"/>
        <v>1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C2"/>
    <mergeCell ref="E1:H2"/>
    <mergeCell ref="A3:C3"/>
    <mergeCell ref="E16:K16"/>
    <mergeCell ref="A20:C20"/>
  </mergeCells>
  <drawing r:id="rId1"/>
</worksheet>
</file>