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ive harvey college" sheetId="1" r:id="rId5"/>
  </sheets>
  <definedNames/>
  <calcPr/>
</workbook>
</file>

<file path=xl/sharedStrings.xml><?xml version="1.0" encoding="utf-8"?>
<sst xmlns="http://schemas.openxmlformats.org/spreadsheetml/2006/main" count="24" uniqueCount="24">
  <si>
    <t>Description</t>
  </si>
  <si>
    <t>quantity</t>
  </si>
  <si>
    <t>per light</t>
  </si>
  <si>
    <t>total hr per light</t>
  </si>
  <si>
    <t>labor per light</t>
  </si>
  <si>
    <t>total labor</t>
  </si>
  <si>
    <t># 0f Labor</t>
  </si>
  <si>
    <t>toffer 2x4</t>
  </si>
  <si>
    <t>flat panel</t>
  </si>
  <si>
    <t>UFO High bay</t>
  </si>
  <si>
    <t>PC shade use with HB lighting</t>
  </si>
  <si>
    <t>32w Led downlight 8in can</t>
  </si>
  <si>
    <t>Led 4ft wrap with pir sensor</t>
  </si>
  <si>
    <t>Led 8ft LED linear Strip Light</t>
  </si>
  <si>
    <t>Led 4ft LED linear Strip Light</t>
  </si>
  <si>
    <t>OD 60W Led Wall packs</t>
  </si>
  <si>
    <t>25w Led cloud fixture with sensor</t>
  </si>
  <si>
    <t>OD 90W Floodlight</t>
  </si>
  <si>
    <t>total</t>
  </si>
  <si>
    <t>Team 1 ( 1 Journeyman, 1 Trademen, 1 Apprentice)</t>
  </si>
  <si>
    <t>How many Teams can we have</t>
  </si>
  <si>
    <t>Total Man Operations</t>
  </si>
  <si>
    <t>Hours Per Day</t>
  </si>
  <si>
    <t>Pay Per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</si>
</sst>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4296.0</v>
      </c>
      <c r="C2" s="1">
        <v>0.45</v>
      </c>
      <c r="D2" s="1">
        <f t="shared" ref="D2:D14" si="1">SUM(B2*C2)</f>
        <v>1933.2</v>
      </c>
      <c r="E2" s="1">
        <v>104.0</v>
      </c>
      <c r="F2" s="2">
        <f t="shared" ref="F2:F12" si="2">B2*E2</f>
        <v>446784</v>
      </c>
    </row>
    <row r="3">
      <c r="A3" s="1" t="s">
        <v>8</v>
      </c>
      <c r="B3" s="1">
        <v>333.0</v>
      </c>
      <c r="C3" s="1">
        <v>0.45</v>
      </c>
      <c r="D3" s="1">
        <f t="shared" si="1"/>
        <v>149.85</v>
      </c>
      <c r="E3" s="1">
        <v>104.0</v>
      </c>
      <c r="F3" s="2">
        <f t="shared" si="2"/>
        <v>34632</v>
      </c>
    </row>
    <row r="4">
      <c r="A4" s="1" t="s">
        <v>9</v>
      </c>
      <c r="B4" s="1">
        <v>24.0</v>
      </c>
      <c r="C4" s="1">
        <v>0.45</v>
      </c>
      <c r="D4" s="1">
        <f t="shared" si="1"/>
        <v>10.8</v>
      </c>
      <c r="E4" s="1">
        <v>149.0</v>
      </c>
      <c r="F4" s="2">
        <f t="shared" si="2"/>
        <v>3576</v>
      </c>
    </row>
    <row r="5">
      <c r="A5" s="1" t="s">
        <v>10</v>
      </c>
      <c r="B5" s="1">
        <v>24.0</v>
      </c>
      <c r="C5" s="1">
        <v>0.45</v>
      </c>
      <c r="D5" s="1">
        <f t="shared" si="1"/>
        <v>10.8</v>
      </c>
      <c r="F5" s="2">
        <f t="shared" si="2"/>
        <v>0</v>
      </c>
    </row>
    <row r="6">
      <c r="A6" s="1" t="s">
        <v>11</v>
      </c>
      <c r="B6" s="1">
        <v>3.0</v>
      </c>
      <c r="C6" s="1">
        <v>0.45</v>
      </c>
      <c r="D6" s="1">
        <f t="shared" si="1"/>
        <v>1.35</v>
      </c>
      <c r="E6" s="1">
        <v>104.0</v>
      </c>
      <c r="F6" s="2">
        <f t="shared" si="2"/>
        <v>312</v>
      </c>
    </row>
    <row r="7">
      <c r="A7" s="1" t="s">
        <v>12</v>
      </c>
      <c r="B7" s="1">
        <v>144.0</v>
      </c>
      <c r="C7" s="1">
        <v>0.45</v>
      </c>
      <c r="D7" s="1">
        <f t="shared" si="1"/>
        <v>64.8</v>
      </c>
      <c r="E7" s="1">
        <v>104.0</v>
      </c>
      <c r="F7" s="2">
        <f t="shared" si="2"/>
        <v>14976</v>
      </c>
    </row>
    <row r="8">
      <c r="A8" s="1" t="s">
        <v>13</v>
      </c>
      <c r="B8" s="1">
        <v>5.0</v>
      </c>
      <c r="C8" s="1">
        <v>0.45</v>
      </c>
      <c r="D8" s="1">
        <f t="shared" si="1"/>
        <v>2.25</v>
      </c>
      <c r="E8" s="1">
        <v>209.0</v>
      </c>
      <c r="F8" s="2">
        <f t="shared" si="2"/>
        <v>1045</v>
      </c>
    </row>
    <row r="9">
      <c r="A9" s="1" t="s">
        <v>14</v>
      </c>
      <c r="B9" s="1">
        <v>3.0</v>
      </c>
      <c r="C9" s="1">
        <v>0.45</v>
      </c>
      <c r="D9" s="1">
        <f t="shared" si="1"/>
        <v>1.35</v>
      </c>
      <c r="E9" s="1">
        <v>104.0</v>
      </c>
      <c r="F9" s="2">
        <f t="shared" si="2"/>
        <v>312</v>
      </c>
    </row>
    <row r="10">
      <c r="A10" s="1" t="s">
        <v>15</v>
      </c>
      <c r="B10" s="1">
        <v>6.0</v>
      </c>
      <c r="C10" s="1">
        <v>0.45</v>
      </c>
      <c r="D10" s="1">
        <f t="shared" si="1"/>
        <v>2.7</v>
      </c>
      <c r="E10" s="1">
        <v>174.0</v>
      </c>
      <c r="F10" s="2">
        <f t="shared" si="2"/>
        <v>1044</v>
      </c>
    </row>
    <row r="11">
      <c r="A11" s="1" t="s">
        <v>16</v>
      </c>
      <c r="B11" s="1">
        <v>28.0</v>
      </c>
      <c r="C11" s="1">
        <v>0.45</v>
      </c>
      <c r="D11" s="1">
        <f t="shared" si="1"/>
        <v>12.6</v>
      </c>
      <c r="E11" s="1">
        <v>104.0</v>
      </c>
      <c r="F11" s="2">
        <f t="shared" si="2"/>
        <v>2912</v>
      </c>
    </row>
    <row r="12">
      <c r="A12" s="1" t="s">
        <v>17</v>
      </c>
      <c r="B12" s="1">
        <v>10.0</v>
      </c>
      <c r="C12" s="1">
        <v>0.45</v>
      </c>
      <c r="D12" s="1">
        <f t="shared" si="1"/>
        <v>4.5</v>
      </c>
      <c r="E12" s="1">
        <v>174.0</v>
      </c>
      <c r="F12" s="2">
        <f t="shared" si="2"/>
        <v>1740</v>
      </c>
    </row>
    <row r="13">
      <c r="C13" s="1">
        <v>0.45</v>
      </c>
      <c r="D13" s="1">
        <f t="shared" si="1"/>
        <v>0</v>
      </c>
    </row>
    <row r="14">
      <c r="A14" s="1" t="s">
        <v>18</v>
      </c>
      <c r="B14" s="2">
        <f>SUM(B1:B12)</f>
        <v>4876</v>
      </c>
      <c r="C14" s="1">
        <v>0.45</v>
      </c>
      <c r="D14" s="1">
        <f t="shared" si="1"/>
        <v>2194.2</v>
      </c>
      <c r="F14" s="2">
        <f>SUM(F1:F12)</f>
        <v>507333</v>
      </c>
    </row>
    <row r="16">
      <c r="A16" s="1" t="s">
        <v>19</v>
      </c>
      <c r="B16" s="2" t="str">
        <f>A1</f>
        <v>Description</v>
      </c>
    </row>
    <row r="17">
      <c r="A17" s="1" t="s">
        <v>20</v>
      </c>
      <c r="B17" s="1">
        <v>5.0</v>
      </c>
    </row>
    <row r="18">
      <c r="A18" s="1" t="s">
        <v>21</v>
      </c>
    </row>
    <row r="19">
      <c r="A19" s="1" t="s">
        <v>22</v>
      </c>
    </row>
    <row r="20">
      <c r="A20" s="1" t="s">
        <v>23</v>
      </c>
    </row>
  </sheetData>
  <drawing r:id="rId1"/>
</worksheet>
</file>