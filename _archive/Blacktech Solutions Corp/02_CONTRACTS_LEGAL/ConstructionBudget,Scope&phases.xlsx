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0302f6f4e1e73/Desktop/SIMPLY E ^0 C/old/grants/Robbins grant project/"/>
    </mc:Choice>
  </mc:AlternateContent>
  <xr:revisionPtr revIDLastSave="1" documentId="14_{2EAEFDFD-A63D-4518-A519-80AB6B237BEB}" xr6:coauthVersionLast="47" xr6:coauthVersionMax="47" xr10:uidLastSave="{A777302A-16FA-481A-B5A7-F6F82AB2F8DD}"/>
  <bookViews>
    <workbookView xWindow="-120" yWindow="-120" windowWidth="29040" windowHeight="15720" tabRatio="816" xr2:uid="{1D43B110-AC50-40A4-BDCE-59AC9349F479}"/>
  </bookViews>
  <sheets>
    <sheet name="Construction budget " sheetId="1" r:id="rId1"/>
    <sheet name="Roofer scope " sheetId="2" r:id="rId2"/>
    <sheet name="Mechanical - HVAC scope" sheetId="3" r:id="rId3"/>
    <sheet name="Electrician  scope" sheetId="4" r:id="rId4"/>
    <sheet name="Floor installers Scope" sheetId="5" r:id="rId5"/>
    <sheet name="Carpenters Scope" sheetId="6" r:id="rId6"/>
    <sheet name="insulator Scope" sheetId="7" r:id="rId7"/>
    <sheet name="Plumber Scope " sheetId="8" r:id="rId8"/>
    <sheet name="Bricklayer Scope " sheetId="9" r:id="rId9"/>
    <sheet name="Painter Scope " sheetId="10" r:id="rId10"/>
    <sheet name="Laborer" sheetId="12" r:id="rId11"/>
    <sheet name="Phases for workflow 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l="1"/>
</calcChain>
</file>

<file path=xl/sharedStrings.xml><?xml version="1.0" encoding="utf-8"?>
<sst xmlns="http://schemas.openxmlformats.org/spreadsheetml/2006/main" count="162" uniqueCount="131">
  <si>
    <t xml:space="preserve">Roofers </t>
  </si>
  <si>
    <t xml:space="preserve">Electrician </t>
  </si>
  <si>
    <t xml:space="preserve">Floor installers </t>
  </si>
  <si>
    <t xml:space="preserve">Plumbers </t>
  </si>
  <si>
    <t>Bricklayers</t>
  </si>
  <si>
    <t xml:space="preserve">Painter </t>
  </si>
  <si>
    <t xml:space="preserve">Carpenters </t>
  </si>
  <si>
    <t xml:space="preserve">Contractors </t>
  </si>
  <si>
    <t>ROM</t>
  </si>
  <si>
    <t>Contingency 10%</t>
  </si>
  <si>
    <t>Total without CON</t>
  </si>
  <si>
    <t>Total with CON</t>
  </si>
  <si>
    <t xml:space="preserve">Roofer scope </t>
  </si>
  <si>
    <t xml:space="preserve">Install roof curbs for units </t>
  </si>
  <si>
    <t xml:space="preserve">Minor gas piping to unit </t>
  </si>
  <si>
    <t xml:space="preserve">minor  low voltage control to unit </t>
  </si>
  <si>
    <t xml:space="preserve">* means investigate </t>
  </si>
  <si>
    <t xml:space="preserve">installing BAS /energy efficient control measure </t>
  </si>
  <si>
    <t xml:space="preserve">Water Roof Testing (leak check) </t>
  </si>
  <si>
    <t>Ductwork  changes* (office,gym, washroom and etc)</t>
  </si>
  <si>
    <t xml:space="preserve">Commissioning the HVAC units Air balancing </t>
  </si>
  <si>
    <t>Operational startup - heat exchanger burn in</t>
  </si>
  <si>
    <t>Electrician Scope</t>
  </si>
  <si>
    <t xml:space="preserve">Conduit and wires to HVAC equipment </t>
  </si>
  <si>
    <t xml:space="preserve">Power </t>
  </si>
  <si>
    <t>low voltage</t>
  </si>
  <si>
    <t>Electrical distribution survey *</t>
  </si>
  <si>
    <t xml:space="preserve">Distribution &amp; panel upgrade </t>
  </si>
  <si>
    <t>Lighting upgrade-(office,outside, gym,washroom, etc)</t>
  </si>
  <si>
    <t>adding lighting control measure -(dimmers, occupancy sensors, etc)</t>
  </si>
  <si>
    <t>installing heat trace to prevent ice damming</t>
  </si>
  <si>
    <t>appliances power survey *</t>
  </si>
  <si>
    <t xml:space="preserve">Adding vinyl baseboard in appropriate areas </t>
  </si>
  <si>
    <t xml:space="preserve">Adding vinyl quarter rounds  in appropriate areas </t>
  </si>
  <si>
    <t xml:space="preserve">installing wood floor for Gym </t>
  </si>
  <si>
    <t>replacing /repair tile in damaged areas (ofice, hallways,washroom,  etc)</t>
  </si>
  <si>
    <t>replacing /repair carpet in damaged areas (ofice, hallways,washroom,  etc)</t>
  </si>
  <si>
    <t xml:space="preserve">Windows work </t>
  </si>
  <si>
    <t xml:space="preserve">Sealing window and framing </t>
  </si>
  <si>
    <t xml:space="preserve">Doors work </t>
  </si>
  <si>
    <t>installing energy efficient and fire rate door</t>
  </si>
  <si>
    <t xml:space="preserve">support /repair framing structure members and window pane </t>
  </si>
  <si>
    <t xml:space="preserve">Support /repairing framing structure members </t>
  </si>
  <si>
    <t xml:space="preserve">Ceiling </t>
  </si>
  <si>
    <t xml:space="preserve">Air seal </t>
  </si>
  <si>
    <t xml:space="preserve">Air seal testing </t>
  </si>
  <si>
    <t xml:space="preserve">insulation </t>
  </si>
  <si>
    <t xml:space="preserve">Blow door test </t>
  </si>
  <si>
    <t>Seal cracks, holes any open area inside and outside building</t>
  </si>
  <si>
    <t xml:space="preserve">insulator </t>
  </si>
  <si>
    <t>wrapping and insulating all expose piping inside /outside building</t>
  </si>
  <si>
    <t xml:space="preserve">Remove/replace/repair any damage insulation </t>
  </si>
  <si>
    <t>Testing insulation for absetos *</t>
  </si>
  <si>
    <t xml:space="preserve">Insulator </t>
  </si>
  <si>
    <t xml:space="preserve">Labeling /identifier for insulated piping </t>
  </si>
  <si>
    <t xml:space="preserve">Plumber </t>
  </si>
  <si>
    <t xml:space="preserve">Replace or repair  bathroom stall partitions </t>
  </si>
  <si>
    <t>Inspection trench drains around outside of building fro proper drainage *</t>
  </si>
  <si>
    <t>pipe water line to the roof for future HVAC maintenances.</t>
  </si>
  <si>
    <t>Piping Gas line to Mechanics</t>
  </si>
  <si>
    <t>Replace or repair urines, toilets and sinks</t>
  </si>
  <si>
    <t>Replace or repair Kitchen sinks</t>
  </si>
  <si>
    <t>Replace or repair  Bathrooom and Kitchen water feeds (Hot &amp;Cold)</t>
  </si>
  <si>
    <t>Replace or repair  Bathrooom and Kitchen drain line</t>
  </si>
  <si>
    <t xml:space="preserve">Mechanical - HVAC Scope </t>
  </si>
  <si>
    <t xml:space="preserve">Bricklayer </t>
  </si>
  <si>
    <t xml:space="preserve">Replacing or repairing parapet walls </t>
  </si>
  <si>
    <t>Sealing bricks</t>
  </si>
  <si>
    <t>Inspect building lentils *</t>
  </si>
  <si>
    <t xml:space="preserve">Façade repairs - Tuckpointing </t>
  </si>
  <si>
    <t>Replace or repair claytile on roof edges and seal</t>
  </si>
  <si>
    <t>Painting all areas and caulking  after remodel</t>
  </si>
  <si>
    <t>Testing for lead in building exiting surfaces *</t>
  </si>
  <si>
    <t xml:space="preserve">Repairing or patching existing damage surfaces </t>
  </si>
  <si>
    <t xml:space="preserve">Sealing moisture coating in areas expose to temperature varations </t>
  </si>
  <si>
    <t>Caulking waterproofing - washroom  and kitchen</t>
  </si>
  <si>
    <t>Roofers</t>
  </si>
  <si>
    <t>Electrician</t>
  </si>
  <si>
    <t xml:space="preserve">Flooring </t>
  </si>
  <si>
    <t xml:space="preserve">insulators </t>
  </si>
  <si>
    <t xml:space="preserve">Phase Two </t>
  </si>
  <si>
    <t>Bricklayer</t>
  </si>
  <si>
    <t xml:space="preserve">Painting </t>
  </si>
  <si>
    <t xml:space="preserve">Phase Three </t>
  </si>
  <si>
    <t xml:space="preserve">Phase One </t>
  </si>
  <si>
    <t xml:space="preserve">Phase Four - Final finishing &amp; commissioning /Testing   </t>
  </si>
  <si>
    <t xml:space="preserve">Mechanical -HVAC </t>
  </si>
  <si>
    <t xml:space="preserve">Mechanical - HVAC </t>
  </si>
  <si>
    <t xml:space="preserve">Demo exisitng layers and deteriorating support </t>
  </si>
  <si>
    <t xml:space="preserve">Replacing and repairing any sturcutral support </t>
  </si>
  <si>
    <t>Installing energy efficient reflective layers (white)</t>
  </si>
  <si>
    <t xml:space="preserve">Work flow Sub-phasing </t>
  </si>
  <si>
    <t>inspect / Survey smoke detectos and CO2 sensor*</t>
  </si>
  <si>
    <t xml:space="preserve">Patch, replace and repair damaged ceiling area (Tiles,Sheet rock, etc) </t>
  </si>
  <si>
    <t>inspect / survey ceiling grids in office ,hallways and exposed areas*</t>
  </si>
  <si>
    <t>inspect / Survey diffusers *(office,gym, washroom and etc)</t>
  </si>
  <si>
    <t>upgrade egress ligting, signages and directions markers</t>
  </si>
  <si>
    <t>upgrade drinking fountains to energy efficient models</t>
  </si>
  <si>
    <t>installing/replacing blinds , Window treament film for lessen solar load</t>
  </si>
  <si>
    <t xml:space="preserve">Seal /repair any interior cinder blocks </t>
  </si>
  <si>
    <t>Misc</t>
  </si>
  <si>
    <t xml:space="preserve">Repair exterior chainlink gate / fence </t>
  </si>
  <si>
    <t xml:space="preserve">Installing  new gutters </t>
  </si>
  <si>
    <t xml:space="preserve">Labors </t>
  </si>
  <si>
    <t>Trash</t>
  </si>
  <si>
    <t xml:space="preserve">Consistency Clean up throughout the project </t>
  </si>
  <si>
    <t xml:space="preserve">labors </t>
  </si>
  <si>
    <t xml:space="preserve">Laborers </t>
  </si>
  <si>
    <t>Laborers</t>
  </si>
  <si>
    <t xml:space="preserve">Site preparation </t>
  </si>
  <si>
    <t xml:space="preserve">Material handling </t>
  </si>
  <si>
    <t xml:space="preserve">Assisting Trade persons </t>
  </si>
  <si>
    <t xml:space="preserve">Physical labors - dumpster </t>
  </si>
  <si>
    <t>Demolition</t>
  </si>
  <si>
    <t xml:space="preserve">Replacing or repairing damaged sturcutral layers </t>
  </si>
  <si>
    <t>Flash the HVAC unit roof curbs / prep</t>
  </si>
  <si>
    <t xml:space="preserve">Flash the Exhaust flue piping </t>
  </si>
  <si>
    <t>installing heat trace for exsposed roof water lines and exposed piping</t>
  </si>
  <si>
    <t>commissioning and labeling appropriate power feeds</t>
  </si>
  <si>
    <t xml:space="preserve">Installing Double pane energy efficient windows </t>
  </si>
  <si>
    <t>installing  appropriate door hardware (kick plates, handles,sweeps and etc)</t>
  </si>
  <si>
    <t>Replacing Washroom and Kitchen towel dispensers</t>
  </si>
  <si>
    <t xml:space="preserve">replacing washroom elctrical hand dryers </t>
  </si>
  <si>
    <t>Repalcing soap dispenser in washroom and kitchen</t>
  </si>
  <si>
    <t xml:space="preserve">inspecting ktichen cabinetry </t>
  </si>
  <si>
    <t xml:space="preserve">install new hot water heaters and pump </t>
  </si>
  <si>
    <t>inspect split HVAC units and pumps replace as needed</t>
  </si>
  <si>
    <t xml:space="preserve">Inspecting  washroom exhaust fan  - electrical </t>
  </si>
  <si>
    <t xml:space="preserve">inspecting Kitchen exhaust system - electrical </t>
  </si>
  <si>
    <t xml:space="preserve">Inspecting  washroom exhaust fan  - ductwork-Mechanical </t>
  </si>
  <si>
    <t>inspecting Kitchen exhaust system - ductwork-Mechanical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</si>
</sst>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000000"/>
      <name val="Aptos Narrow"/>
      <family val="2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4" fontId="3" fillId="0" borderId="1" xfId="1" applyFont="1" applyBorder="1"/>
    <xf numFmtId="0" fontId="4" fillId="0" borderId="1" xfId="0" applyFont="1" applyBorder="1" applyAlignment="1">
      <alignment vertical="center"/>
    </xf>
    <xf numFmtId="44" fontId="3" fillId="0" borderId="1" xfId="0" applyNumberFormat="1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/>
    <xf numFmtId="0" fontId="3" fillId="0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5</xdr:row>
      <xdr:rowOff>323850</xdr:rowOff>
    </xdr:from>
    <xdr:to>
      <xdr:col>9</xdr:col>
      <xdr:colOff>333374</xdr:colOff>
      <xdr:row>8</xdr:row>
      <xdr:rowOff>238125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25A3F9-AC4B-7B00-42F6-6C50271F3FE4}"/>
            </a:ext>
          </a:extLst>
        </xdr:cNvPr>
        <xdr:cNvSpPr txBox="1"/>
      </xdr:nvSpPr>
      <xdr:spPr>
        <a:xfrm>
          <a:off x="5657849" y="1990725"/>
          <a:ext cx="34194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/>
            <a:t>Insulator</a:t>
          </a:r>
          <a:r>
            <a:rPr lang="en-US" sz="1200" baseline="0"/>
            <a:t> cost estimate breaks down into two parts.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1) $27,000 for sealing &amp; testing </a:t>
          </a:r>
        </a:p>
        <a:p>
          <a:pPr algn="l"/>
          <a:r>
            <a:rPr lang="en-US" sz="1200" baseline="0"/>
            <a:t>2) $13,500 for instulation &amp; Wrapping work</a:t>
          </a:r>
          <a:endParaRPr lang="en-US" sz="1200"/>
        </a:p>
      </xdr:txBody>
    </xdr:sp>
    <xdr:clientData/>
  </xdr:twoCellAnchor>
  <xdr:twoCellAnchor>
    <xdr:from>
      <xdr:col>2</xdr:col>
      <xdr:colOff>9525</xdr:colOff>
      <xdr:row>6</xdr:row>
      <xdr:rowOff>171450</xdr:rowOff>
    </xdr:from>
    <xdr:to>
      <xdr:col>3</xdr:col>
      <xdr:colOff>571499</xdr:colOff>
      <xdr:row>7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F6B7282-168F-73FF-A5B2-04F12BB7A000}"/>
            </a:ext>
          </a:extLst>
        </xdr:cNvPr>
        <xdr:cNvCxnSpPr>
          <a:endCxn id="2" idx="1"/>
        </xdr:cNvCxnSpPr>
      </xdr:nvCxnSpPr>
      <xdr:spPr>
        <a:xfrm>
          <a:off x="4486275" y="2171700"/>
          <a:ext cx="1171574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552450</xdr:colOff>
      <xdr:row>10</xdr:row>
      <xdr:rowOff>304800</xdr:rowOff>
    </xdr:from>
    <xdr:to>
      <xdr:col>11</xdr:col>
      <xdr:colOff>114300</xdr:colOff>
      <xdr:row>12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1363C2-52F6-DEF1-1FD4-313A599081D7}"/>
            </a:ext>
          </a:extLst>
        </xdr:cNvPr>
        <xdr:cNvSpPr txBox="1"/>
      </xdr:nvSpPr>
      <xdr:spPr>
        <a:xfrm>
          <a:off x="6248400" y="3638550"/>
          <a:ext cx="38290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10 % Contingency added</a:t>
          </a:r>
          <a:r>
            <a:rPr lang="en-US" sz="1600" baseline="0"/>
            <a:t> for overall project  </a:t>
          </a:r>
          <a:endParaRPr lang="en-US" sz="1600"/>
        </a:p>
      </xdr:txBody>
    </xdr:sp>
    <xdr:clientData/>
  </xdr:twoCellAnchor>
  <xdr:twoCellAnchor>
    <xdr:from>
      <xdr:col>2</xdr:col>
      <xdr:colOff>38100</xdr:colOff>
      <xdr:row>11</xdr:row>
      <xdr:rowOff>209550</xdr:rowOff>
    </xdr:from>
    <xdr:to>
      <xdr:col>4</xdr:col>
      <xdr:colOff>552450</xdr:colOff>
      <xdr:row>13</xdr:row>
      <xdr:rowOff>161925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3D34F95-9638-D055-A587-D523112183D2}"/>
            </a:ext>
          </a:extLst>
        </xdr:cNvPr>
        <xdr:cNvCxnSpPr>
          <a:stCxn id="10" idx="1"/>
        </xdr:cNvCxnSpPr>
      </xdr:nvCxnSpPr>
      <xdr:spPr>
        <a:xfrm flipH="1">
          <a:off x="4514850" y="3876675"/>
          <a:ext cx="1733550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655D-207E-48C4-8A4E-30D7165B1FDB}">
  <dimension ref="A1:B14"/>
  <sheetViews>
    <sheetView tabSelected="1" workbookViewId="0">
      <selection activeCell="F22" sqref="F22"/>
    </sheetView>
  </sheetViews>
  <sheetFormatPr defaultRowHeight="15" x14ac:dyDescent="0.25"/>
  <cols>
    <col min="1" max="1" width="32.42578125" bestFit="1" customWidth="1"/>
    <col min="2" max="2" width="38" customWidth="1"/>
  </cols>
  <sheetData>
    <row r="1" spans="1:2" ht="26.25" x14ac:dyDescent="0.4">
      <c r="A1" s="1" t="s">
        <v>7</v>
      </c>
      <c r="B1" s="1" t="s">
        <v>8</v>
      </c>
    </row>
    <row r="2" spans="1:2" ht="26.25" x14ac:dyDescent="0.4">
      <c r="A2" s="2" t="s">
        <v>0</v>
      </c>
      <c r="B2" s="3">
        <v>148500</v>
      </c>
    </row>
    <row r="3" spans="1:2" ht="26.25" x14ac:dyDescent="0.4">
      <c r="A3" s="2" t="s">
        <v>87</v>
      </c>
      <c r="B3" s="3">
        <v>180000</v>
      </c>
    </row>
    <row r="4" spans="1:2" ht="26.25" x14ac:dyDescent="0.4">
      <c r="A4" s="2" t="s">
        <v>1</v>
      </c>
      <c r="B4" s="3">
        <v>250000</v>
      </c>
    </row>
    <row r="5" spans="1:2" ht="26.25" x14ac:dyDescent="0.4">
      <c r="A5" s="2" t="s">
        <v>2</v>
      </c>
      <c r="B5" s="3">
        <v>180000</v>
      </c>
    </row>
    <row r="6" spans="1:2" ht="26.25" x14ac:dyDescent="0.4">
      <c r="A6" s="4" t="s">
        <v>6</v>
      </c>
      <c r="B6" s="3">
        <v>95000</v>
      </c>
    </row>
    <row r="7" spans="1:2" ht="26.25" x14ac:dyDescent="0.4">
      <c r="A7" s="2" t="s">
        <v>53</v>
      </c>
      <c r="B7" s="3">
        <v>40500</v>
      </c>
    </row>
    <row r="8" spans="1:2" ht="26.25" x14ac:dyDescent="0.4">
      <c r="A8" s="2" t="s">
        <v>3</v>
      </c>
      <c r="B8" s="3">
        <v>50000</v>
      </c>
    </row>
    <row r="9" spans="1:2" ht="26.25" x14ac:dyDescent="0.4">
      <c r="A9" s="2" t="s">
        <v>4</v>
      </c>
      <c r="B9" s="3">
        <v>135000</v>
      </c>
    </row>
    <row r="10" spans="1:2" ht="26.25" x14ac:dyDescent="0.4">
      <c r="A10" s="2" t="s">
        <v>5</v>
      </c>
      <c r="B10" s="3">
        <v>80000</v>
      </c>
    </row>
    <row r="11" spans="1:2" ht="26.25" x14ac:dyDescent="0.4">
      <c r="A11" s="2" t="s">
        <v>108</v>
      </c>
      <c r="B11" s="3">
        <v>45000</v>
      </c>
    </row>
    <row r="12" spans="1:2" ht="26.25" x14ac:dyDescent="0.4">
      <c r="A12" s="2" t="s">
        <v>10</v>
      </c>
      <c r="B12" s="5">
        <f>SUM(B2:B11)</f>
        <v>1204000</v>
      </c>
    </row>
    <row r="13" spans="1:2" ht="26.25" x14ac:dyDescent="0.4">
      <c r="A13" s="2" t="s">
        <v>9</v>
      </c>
      <c r="B13" s="5">
        <f>B12*10%</f>
        <v>120400</v>
      </c>
    </row>
    <row r="14" spans="1:2" ht="26.25" x14ac:dyDescent="0.4">
      <c r="A14" s="2" t="s">
        <v>11</v>
      </c>
      <c r="B14" s="5">
        <f>SUM(B12+B13)</f>
        <v>1324400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3375-818D-4CA5-B1E1-A5EBEE29AC04}">
  <dimension ref="A1:A9"/>
  <sheetViews>
    <sheetView workbookViewId="0">
      <selection activeCell="A15" sqref="A15"/>
    </sheetView>
  </sheetViews>
  <sheetFormatPr defaultRowHeight="15" x14ac:dyDescent="0.25"/>
  <cols>
    <col min="1" max="1" width="65" customWidth="1"/>
  </cols>
  <sheetData>
    <row r="1" spans="1:1" ht="21" x14ac:dyDescent="0.25">
      <c r="A1" s="17" t="s">
        <v>12</v>
      </c>
    </row>
    <row r="2" spans="1:1" ht="21" x14ac:dyDescent="0.35">
      <c r="A2" s="6" t="s">
        <v>88</v>
      </c>
    </row>
    <row r="3" spans="1:1" ht="21" x14ac:dyDescent="0.35">
      <c r="A3" s="6" t="s">
        <v>89</v>
      </c>
    </row>
    <row r="4" spans="1:1" ht="21" x14ac:dyDescent="0.35">
      <c r="A4" s="6" t="s">
        <v>90</v>
      </c>
    </row>
    <row r="5" spans="1:1" ht="21" x14ac:dyDescent="0.35">
      <c r="A5" s="6" t="s">
        <v>114</v>
      </c>
    </row>
    <row r="6" spans="1:1" ht="21" x14ac:dyDescent="0.35">
      <c r="A6" s="6" t="s">
        <v>102</v>
      </c>
    </row>
    <row r="7" spans="1:1" ht="21" x14ac:dyDescent="0.35">
      <c r="A7" s="6" t="s">
        <v>115</v>
      </c>
    </row>
    <row r="8" spans="1:1" ht="21" x14ac:dyDescent="0.35">
      <c r="A8" s="6" t="s">
        <v>116</v>
      </c>
    </row>
    <row r="9" spans="1:1" ht="21" x14ac:dyDescent="0.35">
      <c r="A9" s="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A88C-B049-41F9-995B-FB7F08026854}">
  <dimension ref="A1:D15"/>
  <sheetViews>
    <sheetView workbookViewId="0">
      <selection activeCell="G8" sqref="G8"/>
    </sheetView>
  </sheetViews>
  <sheetFormatPr defaultRowHeight="15" x14ac:dyDescent="0.25"/>
  <cols>
    <col min="1" max="1" width="94" bestFit="1" customWidth="1"/>
    <col min="2" max="2" width="7.85546875" customWidth="1"/>
    <col min="4" max="4" width="31.7109375" bestFit="1" customWidth="1"/>
  </cols>
  <sheetData>
    <row r="1" spans="1:4" ht="26.25" x14ac:dyDescent="0.4">
      <c r="A1" s="18" t="s">
        <v>64</v>
      </c>
    </row>
    <row r="2" spans="1:4" ht="26.25" x14ac:dyDescent="0.4">
      <c r="A2" s="2" t="s">
        <v>13</v>
      </c>
    </row>
    <row r="3" spans="1:4" ht="26.25" x14ac:dyDescent="0.4">
      <c r="A3" s="2" t="s">
        <v>14</v>
      </c>
    </row>
    <row r="4" spans="1:4" ht="26.25" x14ac:dyDescent="0.4">
      <c r="A4" s="2" t="s">
        <v>59</v>
      </c>
    </row>
    <row r="5" spans="1:4" ht="26.25" x14ac:dyDescent="0.4">
      <c r="A5" s="2" t="s">
        <v>17</v>
      </c>
    </row>
    <row r="6" spans="1:4" ht="26.25" x14ac:dyDescent="0.4">
      <c r="A6" s="2" t="s">
        <v>15</v>
      </c>
    </row>
    <row r="7" spans="1:4" ht="26.25" x14ac:dyDescent="0.4">
      <c r="A7" s="2" t="s">
        <v>19</v>
      </c>
    </row>
    <row r="8" spans="1:4" ht="26.25" x14ac:dyDescent="0.4">
      <c r="A8" s="2" t="s">
        <v>95</v>
      </c>
    </row>
    <row r="9" spans="1:4" ht="26.25" x14ac:dyDescent="0.4">
      <c r="A9" s="2" t="s">
        <v>126</v>
      </c>
    </row>
    <row r="10" spans="1:4" ht="26.25" x14ac:dyDescent="0.4">
      <c r="A10" s="2" t="s">
        <v>20</v>
      </c>
    </row>
    <row r="11" spans="1:4" ht="26.25" x14ac:dyDescent="0.4">
      <c r="A11" s="2" t="s">
        <v>21</v>
      </c>
      <c r="D11" s="2" t="s">
        <v>16</v>
      </c>
    </row>
    <row r="12" spans="1:4" ht="26.25" x14ac:dyDescent="0.4">
      <c r="A12" s="2" t="s">
        <v>129</v>
      </c>
    </row>
    <row r="13" spans="1:4" ht="26.25" x14ac:dyDescent="0.4">
      <c r="A13" s="2" t="s">
        <v>130</v>
      </c>
    </row>
    <row r="14" spans="1:4" ht="21" x14ac:dyDescent="0.35">
      <c r="A14" s="6"/>
    </row>
    <row r="15" spans="1:4" ht="21" x14ac:dyDescent="0.35">
      <c r="A1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49E4-C827-462B-B262-F26AC215AD90}">
  <dimension ref="A1:D16"/>
  <sheetViews>
    <sheetView workbookViewId="0">
      <selection activeCell="A10" sqref="A10:A11"/>
    </sheetView>
  </sheetViews>
  <sheetFormatPr defaultRowHeight="15" x14ac:dyDescent="0.25"/>
  <cols>
    <col min="1" max="1" width="109.85546875" bestFit="1" customWidth="1"/>
    <col min="2" max="2" width="18.42578125" bestFit="1" customWidth="1"/>
    <col min="4" max="4" width="31.7109375" bestFit="1" customWidth="1"/>
  </cols>
  <sheetData>
    <row r="1" spans="1:4" ht="26.25" x14ac:dyDescent="0.4">
      <c r="A1" s="18" t="s">
        <v>22</v>
      </c>
    </row>
    <row r="2" spans="1:4" ht="26.25" x14ac:dyDescent="0.4">
      <c r="A2" s="2" t="s">
        <v>23</v>
      </c>
      <c r="B2" s="2" t="s">
        <v>24</v>
      </c>
    </row>
    <row r="3" spans="1:4" ht="26.25" x14ac:dyDescent="0.4">
      <c r="A3" s="2" t="s">
        <v>23</v>
      </c>
      <c r="B3" s="2" t="s">
        <v>25</v>
      </c>
    </row>
    <row r="4" spans="1:4" ht="26.25" x14ac:dyDescent="0.4">
      <c r="A4" s="2" t="s">
        <v>26</v>
      </c>
    </row>
    <row r="5" spans="1:4" ht="26.25" x14ac:dyDescent="0.4">
      <c r="A5" s="2" t="s">
        <v>27</v>
      </c>
    </row>
    <row r="6" spans="1:4" ht="26.25" x14ac:dyDescent="0.4">
      <c r="A6" s="2" t="s">
        <v>28</v>
      </c>
    </row>
    <row r="7" spans="1:4" ht="26.25" x14ac:dyDescent="0.4">
      <c r="A7" s="2" t="s">
        <v>29</v>
      </c>
    </row>
    <row r="8" spans="1:4" ht="26.25" x14ac:dyDescent="0.4">
      <c r="A8" s="2" t="s">
        <v>117</v>
      </c>
    </row>
    <row r="9" spans="1:4" ht="26.25" x14ac:dyDescent="0.4">
      <c r="A9" s="2" t="s">
        <v>30</v>
      </c>
    </row>
    <row r="10" spans="1:4" ht="26.25" x14ac:dyDescent="0.4">
      <c r="A10" s="2" t="s">
        <v>127</v>
      </c>
    </row>
    <row r="11" spans="1:4" ht="26.25" x14ac:dyDescent="0.4">
      <c r="A11" s="2" t="s">
        <v>128</v>
      </c>
    </row>
    <row r="12" spans="1:4" ht="26.25" x14ac:dyDescent="0.4">
      <c r="A12" s="2" t="s">
        <v>96</v>
      </c>
    </row>
    <row r="13" spans="1:4" ht="26.25" x14ac:dyDescent="0.4">
      <c r="A13" s="2" t="s">
        <v>31</v>
      </c>
    </row>
    <row r="14" spans="1:4" ht="26.25" x14ac:dyDescent="0.4">
      <c r="A14" s="2" t="s">
        <v>118</v>
      </c>
    </row>
    <row r="15" spans="1:4" ht="26.25" x14ac:dyDescent="0.4">
      <c r="A15" s="2" t="s">
        <v>92</v>
      </c>
    </row>
    <row r="16" spans="1:4" ht="26.25" x14ac:dyDescent="0.4">
      <c r="A16" s="21" t="s">
        <v>122</v>
      </c>
      <c r="D16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C9C4-9482-43DA-B991-9D657A67F7F6}">
  <dimension ref="A1:A7"/>
  <sheetViews>
    <sheetView workbookViewId="0"/>
  </sheetViews>
  <sheetFormatPr defaultRowHeight="15" x14ac:dyDescent="0.25"/>
  <cols>
    <col min="1" max="1" width="88.7109375" bestFit="1" customWidth="1"/>
  </cols>
  <sheetData>
    <row r="1" spans="1:1" ht="21" x14ac:dyDescent="0.35">
      <c r="A1" s="9" t="s">
        <v>2</v>
      </c>
    </row>
    <row r="2" spans="1:1" ht="21" x14ac:dyDescent="0.35">
      <c r="A2" s="6" t="s">
        <v>34</v>
      </c>
    </row>
    <row r="3" spans="1:1" ht="21" x14ac:dyDescent="0.35">
      <c r="A3" s="6" t="s">
        <v>35</v>
      </c>
    </row>
    <row r="4" spans="1:1" ht="21" x14ac:dyDescent="0.35">
      <c r="A4" s="6" t="s">
        <v>36</v>
      </c>
    </row>
    <row r="5" spans="1:1" ht="21" x14ac:dyDescent="0.35">
      <c r="A5" s="6" t="s">
        <v>32</v>
      </c>
    </row>
    <row r="6" spans="1:1" ht="21" x14ac:dyDescent="0.35">
      <c r="A6" s="6" t="s">
        <v>33</v>
      </c>
    </row>
    <row r="7" spans="1:1" ht="21" x14ac:dyDescent="0.35">
      <c r="A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93BA-ADB3-4E9D-B3E0-540DBAA8A54A}">
  <dimension ref="A1:E20"/>
  <sheetViews>
    <sheetView workbookViewId="0">
      <selection activeCell="E27" sqref="E27"/>
    </sheetView>
  </sheetViews>
  <sheetFormatPr defaultRowHeight="15" x14ac:dyDescent="0.25"/>
  <cols>
    <col min="1" max="1" width="18.85546875" bestFit="1" customWidth="1"/>
    <col min="2" max="2" width="92.7109375" bestFit="1" customWidth="1"/>
    <col min="5" max="5" width="33.28515625" bestFit="1" customWidth="1"/>
  </cols>
  <sheetData>
    <row r="1" spans="1:5" ht="21" x14ac:dyDescent="0.35">
      <c r="A1" s="10" t="s">
        <v>6</v>
      </c>
      <c r="B1" s="11"/>
    </row>
    <row r="2" spans="1:5" ht="21" x14ac:dyDescent="0.35">
      <c r="A2" s="12" t="s">
        <v>37</v>
      </c>
      <c r="B2" s="13"/>
    </row>
    <row r="3" spans="1:5" ht="21" x14ac:dyDescent="0.35">
      <c r="A3" s="6"/>
      <c r="B3" s="6" t="s">
        <v>119</v>
      </c>
    </row>
    <row r="4" spans="1:5" ht="21" x14ac:dyDescent="0.35">
      <c r="A4" s="6"/>
      <c r="B4" s="6" t="s">
        <v>38</v>
      </c>
    </row>
    <row r="5" spans="1:5" ht="21" x14ac:dyDescent="0.35">
      <c r="A5" s="6"/>
      <c r="B5" s="6" t="s">
        <v>41</v>
      </c>
    </row>
    <row r="6" spans="1:5" ht="21" x14ac:dyDescent="0.35">
      <c r="A6" s="6"/>
      <c r="B6" s="6" t="s">
        <v>98</v>
      </c>
    </row>
    <row r="7" spans="1:5" ht="21" x14ac:dyDescent="0.35">
      <c r="A7" s="6"/>
      <c r="B7" s="6"/>
    </row>
    <row r="8" spans="1:5" ht="21" x14ac:dyDescent="0.35">
      <c r="A8" s="12" t="s">
        <v>39</v>
      </c>
      <c r="B8" s="13"/>
    </row>
    <row r="9" spans="1:5" ht="21" x14ac:dyDescent="0.35">
      <c r="A9" s="6"/>
      <c r="B9" s="6" t="s">
        <v>40</v>
      </c>
    </row>
    <row r="10" spans="1:5" ht="21" x14ac:dyDescent="0.35">
      <c r="A10" s="6"/>
      <c r="B10" s="6" t="s">
        <v>120</v>
      </c>
    </row>
    <row r="11" spans="1:5" ht="21" x14ac:dyDescent="0.35">
      <c r="A11" s="6"/>
      <c r="B11" s="6" t="s">
        <v>42</v>
      </c>
    </row>
    <row r="12" spans="1:5" ht="21" x14ac:dyDescent="0.35">
      <c r="A12" s="6"/>
      <c r="B12" s="6"/>
    </row>
    <row r="13" spans="1:5" ht="21" x14ac:dyDescent="0.35">
      <c r="A13" s="12" t="s">
        <v>43</v>
      </c>
      <c r="B13" s="13"/>
    </row>
    <row r="14" spans="1:5" ht="21" x14ac:dyDescent="0.35">
      <c r="A14" s="6"/>
      <c r="B14" s="6" t="s">
        <v>93</v>
      </c>
    </row>
    <row r="15" spans="1:5" ht="26.25" x14ac:dyDescent="0.4">
      <c r="A15" s="8"/>
      <c r="B15" s="8" t="s">
        <v>94</v>
      </c>
      <c r="E15" s="2" t="s">
        <v>16</v>
      </c>
    </row>
    <row r="16" spans="1:5" ht="21" x14ac:dyDescent="0.35">
      <c r="A16" s="12" t="s">
        <v>100</v>
      </c>
      <c r="B16" s="13"/>
    </row>
    <row r="17" spans="1:2" ht="21" x14ac:dyDescent="0.35">
      <c r="A17" s="6"/>
      <c r="B17" s="6" t="s">
        <v>101</v>
      </c>
    </row>
    <row r="18" spans="1:2" ht="21" x14ac:dyDescent="0.35">
      <c r="A18" s="6"/>
      <c r="B18" s="6" t="s">
        <v>124</v>
      </c>
    </row>
    <row r="19" spans="1:2" ht="21" x14ac:dyDescent="0.35">
      <c r="A19" s="6"/>
      <c r="B19" s="6" t="s">
        <v>123</v>
      </c>
    </row>
    <row r="20" spans="1:2" ht="21" x14ac:dyDescent="0.35">
      <c r="A20" s="8"/>
      <c r="B20" s="8" t="s">
        <v>121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D24A-6495-4107-B882-A55FE98F49C9}">
  <dimension ref="A1:D13"/>
  <sheetViews>
    <sheetView workbookViewId="0">
      <selection activeCell="D13" sqref="D13"/>
    </sheetView>
  </sheetViews>
  <sheetFormatPr defaultRowHeight="15" x14ac:dyDescent="0.25"/>
  <cols>
    <col min="1" max="1" width="91.85546875" bestFit="1" customWidth="1"/>
    <col min="2" max="2" width="82.5703125" bestFit="1" customWidth="1"/>
    <col min="4" max="4" width="33.28515625" bestFit="1" customWidth="1"/>
  </cols>
  <sheetData>
    <row r="1" spans="1:4" ht="21" x14ac:dyDescent="0.35">
      <c r="A1" s="10" t="s">
        <v>53</v>
      </c>
      <c r="B1" s="11"/>
    </row>
    <row r="2" spans="1:4" ht="21" x14ac:dyDescent="0.35">
      <c r="A2" s="14" t="s">
        <v>44</v>
      </c>
      <c r="B2" s="13"/>
    </row>
    <row r="3" spans="1:4" ht="21" x14ac:dyDescent="0.35">
      <c r="A3" s="6"/>
      <c r="B3" s="6" t="s">
        <v>45</v>
      </c>
    </row>
    <row r="4" spans="1:4" ht="21" x14ac:dyDescent="0.35">
      <c r="A4" s="6"/>
      <c r="B4" s="6" t="s">
        <v>47</v>
      </c>
    </row>
    <row r="5" spans="1:4" ht="21" x14ac:dyDescent="0.35">
      <c r="A5" s="6"/>
      <c r="B5" s="6" t="s">
        <v>52</v>
      </c>
    </row>
    <row r="6" spans="1:4" ht="21" x14ac:dyDescent="0.35">
      <c r="A6" s="6"/>
      <c r="B6" s="6"/>
    </row>
    <row r="7" spans="1:4" ht="21" x14ac:dyDescent="0.35">
      <c r="A7" s="14" t="s">
        <v>46</v>
      </c>
      <c r="B7" s="13"/>
    </row>
    <row r="8" spans="1:4" ht="21" x14ac:dyDescent="0.35">
      <c r="A8" s="15"/>
      <c r="B8" s="6" t="s">
        <v>48</v>
      </c>
    </row>
    <row r="9" spans="1:4" ht="21" x14ac:dyDescent="0.35">
      <c r="A9" s="6"/>
      <c r="B9" s="6" t="s">
        <v>50</v>
      </c>
    </row>
    <row r="10" spans="1:4" ht="21" x14ac:dyDescent="0.35">
      <c r="A10" s="6"/>
      <c r="B10" s="6" t="s">
        <v>54</v>
      </c>
    </row>
    <row r="11" spans="1:4" ht="21" x14ac:dyDescent="0.35">
      <c r="A11" s="6"/>
      <c r="B11" s="6" t="s">
        <v>51</v>
      </c>
    </row>
    <row r="13" spans="1:4" ht="26.25" x14ac:dyDescent="0.4">
      <c r="D13" s="2" t="s">
        <v>16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8A69-C244-4BC8-956F-507C579F0922}">
  <dimension ref="A1:C13"/>
  <sheetViews>
    <sheetView workbookViewId="0">
      <selection activeCell="A7" sqref="A7"/>
    </sheetView>
  </sheetViews>
  <sheetFormatPr defaultRowHeight="15" x14ac:dyDescent="0.25"/>
  <cols>
    <col min="1" max="1" width="91.85546875" bestFit="1" customWidth="1"/>
    <col min="3" max="3" width="33.28515625" bestFit="1" customWidth="1"/>
  </cols>
  <sheetData>
    <row r="1" spans="1:3" ht="21" x14ac:dyDescent="0.35">
      <c r="A1" s="9" t="s">
        <v>55</v>
      </c>
    </row>
    <row r="2" spans="1:3" ht="21" x14ac:dyDescent="0.35">
      <c r="A2" s="6" t="s">
        <v>61</v>
      </c>
    </row>
    <row r="3" spans="1:3" ht="21" x14ac:dyDescent="0.35">
      <c r="A3" s="6" t="s">
        <v>60</v>
      </c>
    </row>
    <row r="4" spans="1:3" ht="21" x14ac:dyDescent="0.35">
      <c r="A4" s="6" t="s">
        <v>56</v>
      </c>
    </row>
    <row r="5" spans="1:3" ht="21" x14ac:dyDescent="0.35">
      <c r="A5" s="6" t="s">
        <v>62</v>
      </c>
    </row>
    <row r="6" spans="1:3" ht="21" x14ac:dyDescent="0.35">
      <c r="A6" s="6" t="s">
        <v>63</v>
      </c>
    </row>
    <row r="7" spans="1:3" ht="21" x14ac:dyDescent="0.35">
      <c r="A7" s="6" t="s">
        <v>125</v>
      </c>
    </row>
    <row r="8" spans="1:3" ht="21" x14ac:dyDescent="0.35">
      <c r="A8" s="6" t="s">
        <v>97</v>
      </c>
    </row>
    <row r="9" spans="1:3" ht="21" x14ac:dyDescent="0.35">
      <c r="A9" s="6" t="s">
        <v>57</v>
      </c>
    </row>
    <row r="10" spans="1:3" ht="21" x14ac:dyDescent="0.35">
      <c r="A10" s="6" t="s">
        <v>58</v>
      </c>
    </row>
    <row r="11" spans="1:3" ht="21" x14ac:dyDescent="0.35">
      <c r="A11" s="6" t="s">
        <v>59</v>
      </c>
    </row>
    <row r="12" spans="1:3" ht="21" x14ac:dyDescent="0.35">
      <c r="A12" s="20"/>
    </row>
    <row r="13" spans="1:3" ht="26.25" x14ac:dyDescent="0.4">
      <c r="C13" s="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CD8D-53FC-4D8A-BA12-017CD7FE7C8D}">
  <dimension ref="A1:C9"/>
  <sheetViews>
    <sheetView workbookViewId="0">
      <selection sqref="A1:A7"/>
    </sheetView>
  </sheetViews>
  <sheetFormatPr defaultRowHeight="15" x14ac:dyDescent="0.25"/>
  <cols>
    <col min="1" max="1" width="90.140625" bestFit="1" customWidth="1"/>
    <col min="3" max="3" width="33.28515625" bestFit="1" customWidth="1"/>
  </cols>
  <sheetData>
    <row r="1" spans="1:3" ht="21" x14ac:dyDescent="0.35">
      <c r="A1" s="9" t="s">
        <v>65</v>
      </c>
    </row>
    <row r="2" spans="1:3" ht="21" x14ac:dyDescent="0.35">
      <c r="A2" s="6" t="s">
        <v>69</v>
      </c>
    </row>
    <row r="3" spans="1:3" ht="21" x14ac:dyDescent="0.35">
      <c r="A3" s="6" t="s">
        <v>67</v>
      </c>
    </row>
    <row r="4" spans="1:3" ht="21" x14ac:dyDescent="0.35">
      <c r="A4" s="6" t="s">
        <v>66</v>
      </c>
    </row>
    <row r="5" spans="1:3" ht="21" x14ac:dyDescent="0.35">
      <c r="A5" s="6" t="s">
        <v>70</v>
      </c>
    </row>
    <row r="6" spans="1:3" ht="21" x14ac:dyDescent="0.35">
      <c r="A6" s="6" t="s">
        <v>99</v>
      </c>
    </row>
    <row r="7" spans="1:3" ht="21" x14ac:dyDescent="0.35">
      <c r="A7" s="6" t="s">
        <v>68</v>
      </c>
    </row>
    <row r="9" spans="1:3" ht="26.25" x14ac:dyDescent="0.4">
      <c r="C9" s="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9FEF-3269-43A7-B633-F787769E727C}">
  <dimension ref="A1:C6"/>
  <sheetViews>
    <sheetView workbookViewId="0"/>
  </sheetViews>
  <sheetFormatPr defaultRowHeight="15" x14ac:dyDescent="0.25"/>
  <cols>
    <col min="1" max="1" width="82.28515625" bestFit="1" customWidth="1"/>
    <col min="3" max="3" width="33.28515625" bestFit="1" customWidth="1"/>
  </cols>
  <sheetData>
    <row r="1" spans="1:3" ht="21" x14ac:dyDescent="0.35">
      <c r="A1" s="9" t="s">
        <v>5</v>
      </c>
    </row>
    <row r="2" spans="1:3" ht="21" x14ac:dyDescent="0.35">
      <c r="A2" s="6" t="s">
        <v>71</v>
      </c>
    </row>
    <row r="3" spans="1:3" ht="21" x14ac:dyDescent="0.35">
      <c r="A3" s="6" t="s">
        <v>72</v>
      </c>
    </row>
    <row r="4" spans="1:3" ht="21" x14ac:dyDescent="0.35">
      <c r="A4" s="6" t="s">
        <v>73</v>
      </c>
    </row>
    <row r="5" spans="1:3" ht="26.25" x14ac:dyDescent="0.4">
      <c r="A5" s="6" t="s">
        <v>74</v>
      </c>
      <c r="C5" s="2" t="s">
        <v>16</v>
      </c>
    </row>
    <row r="6" spans="1:3" ht="21" x14ac:dyDescent="0.35">
      <c r="A6" s="6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DD5A-B8A2-48D7-A6B3-5AE082A96729}">
  <dimension ref="A1:A8"/>
  <sheetViews>
    <sheetView workbookViewId="0">
      <selection activeCell="A13" sqref="A13"/>
    </sheetView>
  </sheetViews>
  <sheetFormatPr defaultRowHeight="15" x14ac:dyDescent="0.25"/>
  <cols>
    <col min="1" max="1" width="59.5703125" bestFit="1" customWidth="1"/>
  </cols>
  <sheetData>
    <row r="1" spans="1:1" ht="21" x14ac:dyDescent="0.35">
      <c r="A1" s="9" t="s">
        <v>107</v>
      </c>
    </row>
    <row r="2" spans="1:1" ht="21" x14ac:dyDescent="0.35">
      <c r="A2" s="6" t="s">
        <v>105</v>
      </c>
    </row>
    <row r="3" spans="1:1" ht="21" x14ac:dyDescent="0.35">
      <c r="A3" s="6" t="s">
        <v>109</v>
      </c>
    </row>
    <row r="4" spans="1:1" ht="21" x14ac:dyDescent="0.35">
      <c r="A4" s="6" t="s">
        <v>110</v>
      </c>
    </row>
    <row r="5" spans="1:1" ht="21" x14ac:dyDescent="0.35">
      <c r="A5" s="6" t="s">
        <v>111</v>
      </c>
    </row>
    <row r="6" spans="1:1" ht="21" x14ac:dyDescent="0.35">
      <c r="A6" s="6" t="s">
        <v>112</v>
      </c>
    </row>
    <row r="7" spans="1:1" ht="21" x14ac:dyDescent="0.35">
      <c r="A7" s="6" t="s">
        <v>113</v>
      </c>
    </row>
    <row r="8" spans="1:1" ht="21" x14ac:dyDescent="0.35">
      <c r="A8" s="6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09D2-6158-41C5-87FA-0EEDF49F17C2}">
  <dimension ref="A1:B35"/>
  <sheetViews>
    <sheetView topLeftCell="A9" workbookViewId="0">
      <selection activeCell="F14" sqref="F14:F15"/>
    </sheetView>
  </sheetViews>
  <sheetFormatPr defaultRowHeight="15" x14ac:dyDescent="0.25"/>
  <cols>
    <col min="1" max="1" width="12.28515625" bestFit="1" customWidth="1"/>
    <col min="2" max="2" width="39.5703125" customWidth="1"/>
  </cols>
  <sheetData>
    <row r="1" spans="1:2" ht="24" x14ac:dyDescent="0.4">
      <c r="A1" s="19" t="s">
        <v>91</v>
      </c>
      <c r="B1" s="19"/>
    </row>
    <row r="3" spans="1:2" x14ac:dyDescent="0.25">
      <c r="A3" s="16" t="s">
        <v>84</v>
      </c>
      <c r="B3" s="16"/>
    </row>
    <row r="4" spans="1:2" x14ac:dyDescent="0.25">
      <c r="A4" s="7">
        <v>1</v>
      </c>
      <c r="B4" t="s">
        <v>76</v>
      </c>
    </row>
    <row r="5" spans="1:2" x14ac:dyDescent="0.25">
      <c r="A5" s="7">
        <v>2</v>
      </c>
      <c r="B5" t="s">
        <v>77</v>
      </c>
    </row>
    <row r="6" spans="1:2" x14ac:dyDescent="0.25">
      <c r="A6" s="7">
        <v>3</v>
      </c>
      <c r="B6" t="s">
        <v>3</v>
      </c>
    </row>
    <row r="7" spans="1:2" x14ac:dyDescent="0.25">
      <c r="A7" s="7">
        <v>4</v>
      </c>
      <c r="B7" t="s">
        <v>6</v>
      </c>
    </row>
    <row r="8" spans="1:2" x14ac:dyDescent="0.25">
      <c r="A8" s="7">
        <v>5</v>
      </c>
      <c r="B8" t="s">
        <v>65</v>
      </c>
    </row>
    <row r="9" spans="1:2" x14ac:dyDescent="0.25">
      <c r="A9" s="7">
        <v>6</v>
      </c>
      <c r="B9" t="s">
        <v>103</v>
      </c>
    </row>
    <row r="10" spans="1:2" x14ac:dyDescent="0.25">
      <c r="A10" s="16" t="s">
        <v>80</v>
      </c>
      <c r="B10" s="16"/>
    </row>
    <row r="11" spans="1:2" x14ac:dyDescent="0.25">
      <c r="A11" s="7">
        <v>1</v>
      </c>
      <c r="B11" t="s">
        <v>86</v>
      </c>
    </row>
    <row r="12" spans="1:2" x14ac:dyDescent="0.25">
      <c r="A12" s="7">
        <v>2</v>
      </c>
      <c r="B12" t="s">
        <v>77</v>
      </c>
    </row>
    <row r="13" spans="1:2" x14ac:dyDescent="0.25">
      <c r="A13" s="7">
        <v>3</v>
      </c>
      <c r="B13" t="s">
        <v>3</v>
      </c>
    </row>
    <row r="14" spans="1:2" x14ac:dyDescent="0.25">
      <c r="A14" s="7">
        <v>4</v>
      </c>
      <c r="B14" t="s">
        <v>6</v>
      </c>
    </row>
    <row r="15" spans="1:2" x14ac:dyDescent="0.25">
      <c r="A15" s="7">
        <v>5</v>
      </c>
      <c r="B15" t="s">
        <v>65</v>
      </c>
    </row>
    <row r="16" spans="1:2" x14ac:dyDescent="0.25">
      <c r="A16" s="7">
        <v>6</v>
      </c>
      <c r="B16" t="s">
        <v>78</v>
      </c>
    </row>
    <row r="17" spans="1:2" x14ac:dyDescent="0.25">
      <c r="A17" s="7">
        <v>7</v>
      </c>
      <c r="B17" t="s">
        <v>79</v>
      </c>
    </row>
    <row r="18" spans="1:2" x14ac:dyDescent="0.25">
      <c r="A18" s="7">
        <v>8</v>
      </c>
      <c r="B18" t="s">
        <v>103</v>
      </c>
    </row>
    <row r="19" spans="1:2" x14ac:dyDescent="0.25">
      <c r="A19" s="16" t="s">
        <v>83</v>
      </c>
      <c r="B19" s="16"/>
    </row>
    <row r="20" spans="1:2" x14ac:dyDescent="0.25">
      <c r="A20" s="7">
        <v>1</v>
      </c>
      <c r="B20" t="s">
        <v>78</v>
      </c>
    </row>
    <row r="21" spans="1:2" x14ac:dyDescent="0.25">
      <c r="A21" s="7">
        <v>2</v>
      </c>
      <c r="B21" t="s">
        <v>82</v>
      </c>
    </row>
    <row r="22" spans="1:2" x14ac:dyDescent="0.25">
      <c r="A22" s="7">
        <v>3</v>
      </c>
      <c r="B22" t="s">
        <v>81</v>
      </c>
    </row>
    <row r="23" spans="1:2" x14ac:dyDescent="0.25">
      <c r="A23" s="7">
        <v>4</v>
      </c>
      <c r="B23" t="s">
        <v>3</v>
      </c>
    </row>
    <row r="24" spans="1:2" x14ac:dyDescent="0.25">
      <c r="A24" s="7">
        <v>5</v>
      </c>
      <c r="B24" t="s">
        <v>49</v>
      </c>
    </row>
    <row r="25" spans="1:2" x14ac:dyDescent="0.25">
      <c r="A25" s="7">
        <v>6</v>
      </c>
      <c r="B25" t="s">
        <v>77</v>
      </c>
    </row>
    <row r="26" spans="1:2" x14ac:dyDescent="0.25">
      <c r="A26" s="7">
        <v>7</v>
      </c>
      <c r="B26" t="s">
        <v>6</v>
      </c>
    </row>
    <row r="27" spans="1:2" x14ac:dyDescent="0.25">
      <c r="A27" s="7">
        <v>8</v>
      </c>
      <c r="B27" t="s">
        <v>103</v>
      </c>
    </row>
    <row r="28" spans="1:2" x14ac:dyDescent="0.25">
      <c r="A28" s="16" t="s">
        <v>85</v>
      </c>
      <c r="B28" s="16"/>
    </row>
    <row r="29" spans="1:2" x14ac:dyDescent="0.25">
      <c r="A29" s="7">
        <v>1</v>
      </c>
      <c r="B29" t="s">
        <v>86</v>
      </c>
    </row>
    <row r="30" spans="1:2" x14ac:dyDescent="0.25">
      <c r="A30" s="7">
        <v>2</v>
      </c>
      <c r="B30" t="s">
        <v>82</v>
      </c>
    </row>
    <row r="31" spans="1:2" x14ac:dyDescent="0.25">
      <c r="A31" s="7">
        <v>3</v>
      </c>
      <c r="B31" t="s">
        <v>6</v>
      </c>
    </row>
    <row r="32" spans="1:2" x14ac:dyDescent="0.25">
      <c r="A32" s="7">
        <v>4</v>
      </c>
      <c r="B32" t="s">
        <v>3</v>
      </c>
    </row>
    <row r="33" spans="1:2" x14ac:dyDescent="0.25">
      <c r="A33" s="7">
        <v>5</v>
      </c>
      <c r="B33" t="s">
        <v>49</v>
      </c>
    </row>
    <row r="34" spans="1:2" x14ac:dyDescent="0.25">
      <c r="A34" s="7">
        <v>6</v>
      </c>
      <c r="B34" t="s">
        <v>77</v>
      </c>
    </row>
    <row r="35" spans="1:2" x14ac:dyDescent="0.25">
      <c r="A35" s="7">
        <v>7</v>
      </c>
      <c r="B35" t="s">
        <v>106</v>
      </c>
    </row>
  </sheetData>
  <mergeCells count="5">
    <mergeCell ref="A28:B28"/>
    <mergeCell ref="A19:B19"/>
    <mergeCell ref="A10:B10"/>
    <mergeCell ref="A3:B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Construction budget </vt:lpstr>
      <vt:lpstr>Roofer scope </vt:lpstr>
      <vt:lpstr>Mechanical - HVAC scope</vt:lpstr>
      <vt:lpstr>Electrician  scope</vt:lpstr>
      <vt:lpstr>Floor installers Scope</vt:lpstr>
      <vt:lpstr>Carpenters Scope</vt:lpstr>
      <vt:lpstr>insulator Scope</vt:lpstr>
      <vt:lpstr>Plumber Scope </vt:lpstr>
      <vt:lpstr>Bricklayer Scope </vt:lpstr>
      <vt:lpstr>Painter Scope </vt:lpstr>
      <vt:lpstr>Laborer</vt:lpstr>
      <vt:lpstr>Phases for workflow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Payne, Preston</dc:creator>
  <cp:lastModifiedBy>calvin payne</cp:lastModifiedBy>
  <dcterms:created xsi:type="dcterms:W3CDTF">2025-05-23T13:40:34Z</dcterms:created>
  <dcterms:modified xsi:type="dcterms:W3CDTF">2025-05-25T15:57:26Z</dcterms:modified>
</cp:coreProperties>
</file>