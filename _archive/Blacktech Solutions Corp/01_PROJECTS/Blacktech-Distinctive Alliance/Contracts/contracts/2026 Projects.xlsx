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<sst xmlns="http://schemas.openxmlformats.org/spreadsheetml/2006/main" count="94" uniqueCount="74">
  <si>
    <t xml:space="preserve">Project </t>
  </si>
  <si>
    <t>Name</t>
  </si>
  <si>
    <t>phone</t>
  </si>
  <si>
    <t>Address</t>
  </si>
  <si>
    <t>Description</t>
  </si>
  <si>
    <t xml:space="preserve">start Date </t>
  </si>
  <si>
    <t>Finish date</t>
  </si>
  <si>
    <t>Amount</t>
  </si>
  <si>
    <t>Notes</t>
  </si>
  <si>
    <t>files</t>
  </si>
  <si>
    <t>comminity Solar</t>
  </si>
  <si>
    <t>comed Electrification</t>
  </si>
  <si>
    <t>Lynette Jones</t>
  </si>
  <si>
    <t>7414 S Drexel Ave</t>
  </si>
  <si>
    <t>New 200 amp service,HP,HW,EF,</t>
  </si>
  <si>
    <t>no</t>
  </si>
  <si>
    <t>Comefd Electrification</t>
  </si>
  <si>
    <t>7919 S Doechester Ave.</t>
  </si>
  <si>
    <r>
      <rPr>
        <color rgb="FF1155CC"/>
        <u/>
      </rPr>
      <t>7919 S Dorchester Ave</t>
    </r>
  </si>
  <si>
    <t>London Town Project</t>
  </si>
  <si>
    <t xml:space="preserve">10300 S Cottage grove </t>
  </si>
  <si>
    <t>15 units, New 200 amp service,HP,HW,EF,</t>
  </si>
  <si>
    <t>London Town Homes</t>
  </si>
  <si>
    <t>Forum Cafe</t>
  </si>
  <si>
    <t>Brandon Loyd</t>
  </si>
  <si>
    <t>318-22 S 43rd St</t>
  </si>
  <si>
    <t>Final Electrical Rough and Finish trim</t>
  </si>
  <si>
    <r>
      <rPr>
        <color rgb="FF1155CC"/>
        <u/>
      </rPr>
      <t>Cafe Forum</t>
    </r>
  </si>
  <si>
    <t>Paul G stewart</t>
  </si>
  <si>
    <t>Cedric</t>
  </si>
  <si>
    <t>401 E 41st 19FL</t>
  </si>
  <si>
    <t>New lighting in common Area</t>
  </si>
  <si>
    <t>Have to do a new program application</t>
  </si>
  <si>
    <r>
      <rPr>
        <color rgb="FF1155CC"/>
        <u/>
      </rPr>
      <t>Paul G stewart Apt 19FL</t>
    </r>
  </si>
  <si>
    <t>401 e 41st 27 FL</t>
  </si>
  <si>
    <r>
      <rPr>
        <color rgb="FF1155CC"/>
        <u/>
      </rPr>
      <t>Paul G Stewart 27FL</t>
    </r>
  </si>
  <si>
    <t>Robbin Project</t>
  </si>
  <si>
    <t>Calvin Payne</t>
  </si>
  <si>
    <t>New Construction in the communtiy Center</t>
  </si>
  <si>
    <t>Wait on DCOE to sign the contract</t>
  </si>
  <si>
    <r>
      <rPr>
        <color rgb="FF1155CC"/>
        <u/>
      </rPr>
      <t>Robbin Project</t>
    </r>
  </si>
  <si>
    <t>Urban Exchange Market EV</t>
  </si>
  <si>
    <t>Quandra speights</t>
  </si>
  <si>
    <t>525 E 67th St</t>
  </si>
  <si>
    <t xml:space="preserve">New rooftop  solar project </t>
  </si>
  <si>
    <t>MOU Drafted</t>
  </si>
  <si>
    <r>
      <rPr>
        <color rgb="FF1155CC"/>
        <u/>
      </rPr>
      <t>Urban Market Exchange</t>
    </r>
  </si>
  <si>
    <t>Urban Exchange Market Solar</t>
  </si>
  <si>
    <t>Quandra Speights</t>
  </si>
  <si>
    <t>New EV Charging in the parking lot</t>
  </si>
  <si>
    <t>Make ready have to do a program Application</t>
  </si>
  <si>
    <r>
      <rPr>
        <color rgb="FF1155CC"/>
        <u/>
      </rPr>
      <t>Urban Market Exchange</t>
    </r>
  </si>
  <si>
    <t>Palos Hill Lighting project</t>
  </si>
  <si>
    <t>Cleo Downs</t>
  </si>
  <si>
    <t>New lighting in School</t>
  </si>
  <si>
    <t>Palos Hill lighting</t>
  </si>
  <si>
    <t>Condomiun HP project</t>
  </si>
  <si>
    <t>Joe Smith</t>
  </si>
  <si>
    <t xml:space="preserve">New Heat Pumps in Comdomiun </t>
  </si>
  <si>
    <t xml:space="preserve">Have to </t>
  </si>
  <si>
    <r>
      <rPr>
        <color rgb="FF1155CC"/>
        <u/>
      </rPr>
      <t>Condomium HP Project</t>
    </r>
  </si>
  <si>
    <t>Medical Center</t>
  </si>
  <si>
    <t>9401 S pulaski Ave</t>
  </si>
  <si>
    <t>New General contruction for all trades</t>
  </si>
  <si>
    <t>No budget</t>
  </si>
  <si>
    <t>Just Closed on the Property have schedule a walk though</t>
  </si>
  <si>
    <r>
      <rPr>
        <color rgb="FF1155CC"/>
        <u/>
      </rPr>
      <t>9401 S Pulaski Ave</t>
    </r>
  </si>
  <si>
    <t>New Single Home</t>
  </si>
  <si>
    <t>New Construction in Robbins IL</t>
  </si>
  <si>
    <t>Warehouse project</t>
  </si>
  <si>
    <t>Arham Kahn and Todd</t>
  </si>
  <si>
    <t>380 E 167th St, Harvey,IL</t>
  </si>
  <si>
    <t>New comed retrofit lighting, New office build out,</t>
  </si>
  <si>
    <t>380 E 167th, Harvey,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</si>
</sst>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28bD2KlMzqvwIo9Geqku3USj2RKjVU1o&amp;usp=drive_copy" TargetMode="External"/><Relationship Id="rId10" Type="http://schemas.openxmlformats.org/officeDocument/2006/relationships/hyperlink" Target="https://drive.google.com/open?id=1OkYbL8X5pidv3MK0tvWwVLS_DiR0v9dY&amp;usp=drive_copy" TargetMode="External"/><Relationship Id="rId13" Type="http://schemas.openxmlformats.org/officeDocument/2006/relationships/hyperlink" Target="https://drive.google.com/open?id=13JxZQx7-7EBr5gQWXU2Q4d3ZjWiK3TlZ&amp;usp=drive_copy" TargetMode="External"/><Relationship Id="rId12" Type="http://schemas.openxmlformats.org/officeDocument/2006/relationships/hyperlink" Target="https://drive.google.com/open?id=1hHxdKslCYkkLUawZjydurK8MdbyXrmMY&amp;usp=drive_copy" TargetMode="External"/><Relationship Id="rId1" Type="http://schemas.openxmlformats.org/officeDocument/2006/relationships/hyperlink" Target="https://drive.google.com/open?id=1qhJ_Shdx6pUbTZ3zMBDuQeGBU9kwP88K&amp;usp=drive_copy" TargetMode="External"/><Relationship Id="rId2" Type="http://schemas.openxmlformats.org/officeDocument/2006/relationships/hyperlink" Target="https://drive.google.com/open?id=183We8Q7mXYDz9d4oT7zl5--xwO8Tr0Vv&amp;usp=drive_copy" TargetMode="External"/><Relationship Id="rId3" Type="http://schemas.openxmlformats.org/officeDocument/2006/relationships/hyperlink" Target="https://drive.google.com/open?id=1zWB2jIRfD2hDXEFAk1j2Rhr9HPJeX6nW&amp;usp=drive_copy" TargetMode="External"/><Relationship Id="rId4" Type="http://schemas.openxmlformats.org/officeDocument/2006/relationships/hyperlink" Target="https://drive.google.com/open?id=1RmzPLRibVop5LDy0m1xLNEzsXjtbeG-D&amp;usp=drive_copy" TargetMode="External"/><Relationship Id="rId9" Type="http://schemas.openxmlformats.org/officeDocument/2006/relationships/hyperlink" Target="https://drive.google.com/open?id=1na1NGYfPGnqSPODftGl2cn8mjRq6eY4j&amp;usp=drive_copy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open?id=10Zkqf5gw5mnP3bzC-5PP2Sxiuli5SH3Z&amp;usp=drive_copy" TargetMode="External"/><Relationship Id="rId6" Type="http://schemas.openxmlformats.org/officeDocument/2006/relationships/hyperlink" Target="https://drive.google.com/open?id=1b-DL7InJiKaOLaz53sbUPtk2iGXcvqei&amp;usp=drive_copy" TargetMode="External"/><Relationship Id="rId7" Type="http://schemas.openxmlformats.org/officeDocument/2006/relationships/hyperlink" Target="https://drive.google.com/open?id=1xJaqSPidNjaqELJpOlmEuUpYECo45fFH&amp;usp=drive_copy" TargetMode="External"/><Relationship Id="rId8" Type="http://schemas.openxmlformats.org/officeDocument/2006/relationships/hyperlink" Target="https://drive.google.com/open?id=1na1NGYfPGnqSPODftGl2cn8mjRq6eY4j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5.38"/>
    <col customWidth="1" min="2" max="4" width="21.38"/>
    <col customWidth="1" min="5" max="5" width="38.75"/>
    <col customWidth="1" min="9" max="9" width="43.88"/>
    <col customWidth="1" min="10" max="10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/>
      <c r="D2" s="1" t="s">
        <v>13</v>
      </c>
      <c r="E2" s="1" t="s">
        <v>14</v>
      </c>
      <c r="F2" s="2">
        <v>46023.0</v>
      </c>
      <c r="G2" s="2">
        <v>46081.0</v>
      </c>
      <c r="H2" s="1">
        <v>10900.0</v>
      </c>
      <c r="J2" s="3" t="s">
        <v>13</v>
      </c>
      <c r="K2" s="1" t="s">
        <v>15</v>
      </c>
    </row>
    <row r="3">
      <c r="A3" s="1" t="s">
        <v>16</v>
      </c>
      <c r="B3" s="1" t="s">
        <v>12</v>
      </c>
      <c r="C3" s="1"/>
      <c r="D3" s="1" t="s">
        <v>17</v>
      </c>
      <c r="E3" s="1" t="s">
        <v>14</v>
      </c>
      <c r="F3" s="2">
        <v>46023.0</v>
      </c>
      <c r="G3" s="2">
        <v>46081.0</v>
      </c>
      <c r="H3" s="1">
        <v>10900.0</v>
      </c>
      <c r="J3" s="4" t="s">
        <v>18</v>
      </c>
      <c r="K3" s="1" t="s">
        <v>15</v>
      </c>
    </row>
    <row r="4">
      <c r="A4" s="1" t="s">
        <v>19</v>
      </c>
      <c r="B4" s="1" t="s">
        <v>12</v>
      </c>
      <c r="C4" s="1"/>
      <c r="D4" s="1" t="s">
        <v>20</v>
      </c>
      <c r="E4" s="1" t="s">
        <v>21</v>
      </c>
      <c r="H4" s="5">
        <v>190000.0</v>
      </c>
      <c r="J4" s="3" t="s">
        <v>22</v>
      </c>
      <c r="K4" s="1" t="s">
        <v>15</v>
      </c>
    </row>
    <row r="5">
      <c r="A5" s="1" t="s">
        <v>23</v>
      </c>
      <c r="B5" s="1" t="s">
        <v>24</v>
      </c>
      <c r="C5" s="1"/>
      <c r="D5" s="1" t="s">
        <v>25</v>
      </c>
      <c r="E5" s="1" t="s">
        <v>26</v>
      </c>
      <c r="F5" s="2">
        <v>46023.0</v>
      </c>
      <c r="G5" s="2">
        <v>46082.0</v>
      </c>
      <c r="H5" s="1">
        <v>5000.0</v>
      </c>
      <c r="J5" s="4" t="s">
        <v>27</v>
      </c>
      <c r="K5" s="1" t="s">
        <v>15</v>
      </c>
    </row>
    <row r="6">
      <c r="A6" s="1" t="s">
        <v>28</v>
      </c>
      <c r="B6" s="1" t="s">
        <v>29</v>
      </c>
      <c r="C6" s="1"/>
      <c r="D6" s="1" t="s">
        <v>30</v>
      </c>
      <c r="E6" s="1" t="s">
        <v>31</v>
      </c>
      <c r="H6" s="1">
        <v>35000.0</v>
      </c>
      <c r="I6" s="1" t="s">
        <v>32</v>
      </c>
      <c r="J6" s="4" t="s">
        <v>33</v>
      </c>
      <c r="K6" s="1" t="s">
        <v>15</v>
      </c>
    </row>
    <row r="7">
      <c r="A7" s="1" t="s">
        <v>28</v>
      </c>
      <c r="B7" s="1" t="s">
        <v>29</v>
      </c>
      <c r="C7" s="1"/>
      <c r="D7" s="1" t="s">
        <v>34</v>
      </c>
      <c r="E7" s="1" t="s">
        <v>31</v>
      </c>
      <c r="H7" s="1">
        <v>40000.0</v>
      </c>
      <c r="I7" s="1" t="s">
        <v>32</v>
      </c>
      <c r="J7" s="4" t="s">
        <v>35</v>
      </c>
      <c r="K7" s="1" t="s">
        <v>15</v>
      </c>
    </row>
    <row r="8">
      <c r="A8" s="1" t="s">
        <v>36</v>
      </c>
      <c r="B8" s="1" t="s">
        <v>37</v>
      </c>
      <c r="E8" s="1" t="s">
        <v>38</v>
      </c>
      <c r="H8" s="1">
        <v>250000.0</v>
      </c>
      <c r="I8" s="1" t="s">
        <v>39</v>
      </c>
      <c r="J8" s="4" t="s">
        <v>40</v>
      </c>
      <c r="K8" s="1" t="s">
        <v>15</v>
      </c>
    </row>
    <row r="9">
      <c r="A9" s="1" t="s">
        <v>41</v>
      </c>
      <c r="B9" s="1" t="s">
        <v>42</v>
      </c>
      <c r="C9" s="1"/>
      <c r="D9" s="1" t="s">
        <v>43</v>
      </c>
      <c r="E9" s="1" t="s">
        <v>44</v>
      </c>
      <c r="H9" s="1">
        <v>180000.0</v>
      </c>
      <c r="I9" s="1" t="s">
        <v>45</v>
      </c>
      <c r="J9" s="4" t="s">
        <v>46</v>
      </c>
      <c r="K9" s="1" t="s">
        <v>15</v>
      </c>
    </row>
    <row r="10">
      <c r="A10" s="1" t="s">
        <v>47</v>
      </c>
      <c r="B10" s="1" t="s">
        <v>48</v>
      </c>
      <c r="C10" s="1"/>
      <c r="D10" s="1" t="s">
        <v>43</v>
      </c>
      <c r="E10" s="1" t="s">
        <v>49</v>
      </c>
      <c r="H10" s="1">
        <v>25000.0</v>
      </c>
      <c r="I10" s="1" t="s">
        <v>50</v>
      </c>
      <c r="J10" s="4" t="s">
        <v>51</v>
      </c>
      <c r="K10" s="1" t="s">
        <v>15</v>
      </c>
    </row>
    <row r="11">
      <c r="A11" s="1" t="s">
        <v>52</v>
      </c>
      <c r="B11" s="1" t="s">
        <v>53</v>
      </c>
      <c r="E11" s="1" t="s">
        <v>54</v>
      </c>
      <c r="H11" s="1">
        <v>46000.0</v>
      </c>
      <c r="J11" s="3" t="s">
        <v>55</v>
      </c>
      <c r="K11" s="1" t="s">
        <v>15</v>
      </c>
    </row>
    <row r="12">
      <c r="A12" s="1" t="s">
        <v>56</v>
      </c>
      <c r="B12" s="1" t="s">
        <v>57</v>
      </c>
      <c r="E12" s="1" t="s">
        <v>58</v>
      </c>
      <c r="H12" s="1">
        <v>20000.0</v>
      </c>
      <c r="I12" s="1" t="s">
        <v>59</v>
      </c>
      <c r="J12" s="4" t="s">
        <v>60</v>
      </c>
      <c r="K12" s="1" t="s">
        <v>15</v>
      </c>
    </row>
    <row r="13">
      <c r="A13" s="1" t="s">
        <v>61</v>
      </c>
      <c r="B13" s="1"/>
      <c r="C13" s="1"/>
      <c r="D13" s="1" t="s">
        <v>62</v>
      </c>
      <c r="E13" s="1" t="s">
        <v>63</v>
      </c>
      <c r="H13" s="1" t="s">
        <v>64</v>
      </c>
      <c r="I13" s="1" t="s">
        <v>65</v>
      </c>
      <c r="J13" s="4" t="s">
        <v>66</v>
      </c>
      <c r="K13" s="1" t="s">
        <v>15</v>
      </c>
    </row>
    <row r="14">
      <c r="A14" s="1" t="s">
        <v>67</v>
      </c>
      <c r="E14" s="1" t="s">
        <v>68</v>
      </c>
      <c r="H14" s="1">
        <v>25000.0</v>
      </c>
    </row>
    <row r="15">
      <c r="A15" s="1" t="s">
        <v>69</v>
      </c>
      <c r="B15" s="1" t="s">
        <v>70</v>
      </c>
      <c r="D15" s="1" t="s">
        <v>71</v>
      </c>
      <c r="E15" s="1" t="s">
        <v>72</v>
      </c>
      <c r="J15" s="3" t="s">
        <v>73</v>
      </c>
    </row>
    <row r="17">
      <c r="A17" s="6"/>
      <c r="B17" s="6"/>
      <c r="C17" s="6"/>
      <c r="D17" s="6"/>
      <c r="E17" s="6"/>
      <c r="F17" s="6"/>
      <c r="G17" s="6"/>
      <c r="H17" s="6">
        <f>SUM(H2:H12)</f>
        <v>812800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</sheetData>
  <dataValidations>
    <dataValidation type="list" allowBlank="1" showErrorMessage="1" sqref="K2:K13">
      <formula1>"yes,no"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5"/>
  </hyperlinks>
  <drawing r:id="rId14"/>
</worksheet>
</file>