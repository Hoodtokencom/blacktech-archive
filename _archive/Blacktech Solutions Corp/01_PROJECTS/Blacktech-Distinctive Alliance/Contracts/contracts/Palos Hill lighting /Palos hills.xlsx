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" sheetId="1" r:id="rId5"/>
  </sheets>
  <definedNames/>
  <calcPr/>
</workbook>
</file>

<file path=xl/sharedStrings.xml><?xml version="1.0" encoding="utf-8"?>
<sst xmlns="http://schemas.openxmlformats.org/spreadsheetml/2006/main" count="54" uniqueCount="41">
  <si>
    <t>Description</t>
  </si>
  <si>
    <t>Type</t>
  </si>
  <si>
    <t>Lumen</t>
  </si>
  <si>
    <t>hr per man</t>
  </si>
  <si>
    <t>man per hour</t>
  </si>
  <si>
    <t>Qauntity</t>
  </si>
  <si>
    <t>totall hours per fixture</t>
  </si>
  <si>
    <t>Notes</t>
  </si>
  <si>
    <t>Decor Lamp</t>
  </si>
  <si>
    <t>2L-</t>
  </si>
  <si>
    <t>35k</t>
  </si>
  <si>
    <t>Shop lamp</t>
  </si>
  <si>
    <t>2L-T8-32w</t>
  </si>
  <si>
    <t>32k</t>
  </si>
  <si>
    <t>2x4 laying</t>
  </si>
  <si>
    <t>4L-T8-32w</t>
  </si>
  <si>
    <t>2x2 laying basket type</t>
  </si>
  <si>
    <t xml:space="preserve">Exit light </t>
  </si>
  <si>
    <t>No arrow</t>
  </si>
  <si>
    <t>Surface mounted</t>
  </si>
  <si>
    <t>2L-T8-32w-</t>
  </si>
  <si>
    <t>4 Lamp wrap surfaced</t>
  </si>
  <si>
    <t>1x4 layin</t>
  </si>
  <si>
    <t>2L-T8-32w-4ft</t>
  </si>
  <si>
    <t>41k</t>
  </si>
  <si>
    <t>Suspended Fixtures</t>
  </si>
  <si>
    <t>4 ft fixture</t>
  </si>
  <si>
    <t>Surfaced Enclsed Wrap</t>
  </si>
  <si>
    <t>High Bays supended</t>
  </si>
  <si>
    <t>4L-T8-32W-ft</t>
  </si>
  <si>
    <t>Bollard(outdoor fixture</t>
  </si>
  <si>
    <t>Vanity Lights</t>
  </si>
  <si>
    <t>1L-4ft-16w-4ft</t>
  </si>
  <si>
    <t>Wall pack</t>
  </si>
  <si>
    <t>250w-</t>
  </si>
  <si>
    <t>5K</t>
  </si>
  <si>
    <t>12x12 Canopy light</t>
  </si>
  <si>
    <t>Can light trim</t>
  </si>
  <si>
    <t>32w-3k-6in</t>
  </si>
  <si>
    <t xml:space="preserve">Post Top </t>
  </si>
  <si>
    <t>1L-115w-Ex39base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</si>
</sst>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9.13"/>
    <col customWidth="1" min="7" max="7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8</v>
      </c>
      <c r="B2" s="3" t="s">
        <v>9</v>
      </c>
      <c r="C2" s="3" t="s">
        <v>10</v>
      </c>
      <c r="D2" s="3">
        <v>1.5</v>
      </c>
      <c r="E2" s="3">
        <v>100.0</v>
      </c>
      <c r="F2" s="3">
        <v>10.0</v>
      </c>
      <c r="G2" s="4">
        <f t="shared" ref="G2:G21" si="1">sum(D2*E2*F2)</f>
        <v>1500</v>
      </c>
    </row>
    <row r="3">
      <c r="A3" s="3" t="s">
        <v>11</v>
      </c>
      <c r="B3" s="3" t="s">
        <v>12</v>
      </c>
      <c r="C3" s="3" t="s">
        <v>13</v>
      </c>
      <c r="D3" s="3">
        <v>1.5</v>
      </c>
      <c r="E3" s="3">
        <v>100.0</v>
      </c>
      <c r="F3" s="3">
        <v>21.0</v>
      </c>
      <c r="G3" s="4">
        <f t="shared" si="1"/>
        <v>3150</v>
      </c>
    </row>
    <row r="4">
      <c r="A4" s="3" t="s">
        <v>14</v>
      </c>
      <c r="B4" s="3" t="s">
        <v>15</v>
      </c>
      <c r="D4" s="3">
        <v>1.5</v>
      </c>
      <c r="E4" s="3">
        <v>100.0</v>
      </c>
      <c r="F4" s="3">
        <v>94.0</v>
      </c>
      <c r="G4" s="4">
        <f t="shared" si="1"/>
        <v>14100</v>
      </c>
    </row>
    <row r="5">
      <c r="A5" s="3" t="s">
        <v>16</v>
      </c>
      <c r="D5" s="3">
        <v>1.5</v>
      </c>
      <c r="E5" s="3">
        <v>100.0</v>
      </c>
      <c r="F5" s="3">
        <v>9.0</v>
      </c>
      <c r="G5" s="4">
        <f t="shared" si="1"/>
        <v>1350</v>
      </c>
    </row>
    <row r="6">
      <c r="A6" s="3" t="s">
        <v>17</v>
      </c>
      <c r="D6" s="3">
        <v>1.5</v>
      </c>
      <c r="E6" s="3">
        <v>100.0</v>
      </c>
      <c r="F6" s="3">
        <v>17.0</v>
      </c>
      <c r="G6" s="4">
        <f t="shared" si="1"/>
        <v>2550</v>
      </c>
      <c r="H6" s="3" t="s">
        <v>18</v>
      </c>
    </row>
    <row r="7">
      <c r="A7" s="3" t="s">
        <v>19</v>
      </c>
      <c r="B7" s="3" t="s">
        <v>20</v>
      </c>
      <c r="D7" s="3">
        <v>1.5</v>
      </c>
      <c r="E7" s="3">
        <v>100.0</v>
      </c>
      <c r="F7" s="3">
        <v>23.0</v>
      </c>
      <c r="G7" s="4">
        <f t="shared" si="1"/>
        <v>3450</v>
      </c>
    </row>
    <row r="8">
      <c r="A8" s="3" t="s">
        <v>21</v>
      </c>
      <c r="B8" s="3" t="s">
        <v>15</v>
      </c>
      <c r="D8" s="3">
        <v>1.5</v>
      </c>
      <c r="E8" s="3">
        <v>100.0</v>
      </c>
      <c r="F8" s="3">
        <v>10.0</v>
      </c>
      <c r="G8" s="4">
        <f t="shared" si="1"/>
        <v>1500</v>
      </c>
    </row>
    <row r="9">
      <c r="A9" s="3" t="s">
        <v>22</v>
      </c>
      <c r="B9" s="3" t="s">
        <v>23</v>
      </c>
      <c r="C9" s="3" t="s">
        <v>24</v>
      </c>
      <c r="D9" s="3">
        <v>1.5</v>
      </c>
      <c r="E9" s="3">
        <v>100.0</v>
      </c>
      <c r="F9" s="3">
        <v>12.0</v>
      </c>
      <c r="G9" s="4">
        <f t="shared" si="1"/>
        <v>1800</v>
      </c>
    </row>
    <row r="10">
      <c r="A10" s="3" t="s">
        <v>25</v>
      </c>
      <c r="B10" s="3" t="s">
        <v>23</v>
      </c>
      <c r="C10" s="3" t="s">
        <v>24</v>
      </c>
      <c r="D10" s="3">
        <v>1.25</v>
      </c>
      <c r="E10" s="3">
        <v>100.0</v>
      </c>
      <c r="F10" s="3">
        <v>2.0</v>
      </c>
      <c r="G10" s="4">
        <f t="shared" si="1"/>
        <v>250</v>
      </c>
      <c r="H10" s="3" t="s">
        <v>26</v>
      </c>
    </row>
    <row r="11">
      <c r="A11" s="3" t="s">
        <v>25</v>
      </c>
      <c r="B11" s="3" t="s">
        <v>23</v>
      </c>
      <c r="C11" s="3" t="s">
        <v>24</v>
      </c>
      <c r="D11" s="3">
        <v>1.25</v>
      </c>
      <c r="E11" s="3">
        <v>100.0</v>
      </c>
      <c r="F11" s="3">
        <v>7.0</v>
      </c>
      <c r="G11" s="5">
        <f t="shared" si="1"/>
        <v>875</v>
      </c>
    </row>
    <row r="12">
      <c r="A12" s="3" t="s">
        <v>25</v>
      </c>
      <c r="B12" s="3" t="s">
        <v>23</v>
      </c>
      <c r="C12" s="3" t="s">
        <v>24</v>
      </c>
      <c r="D12" s="3">
        <v>1.25</v>
      </c>
      <c r="E12" s="3">
        <v>100.0</v>
      </c>
      <c r="F12" s="3">
        <v>17.0</v>
      </c>
      <c r="G12" s="4">
        <f t="shared" si="1"/>
        <v>2125</v>
      </c>
    </row>
    <row r="13">
      <c r="A13" s="3" t="s">
        <v>25</v>
      </c>
      <c r="B13" s="3" t="s">
        <v>23</v>
      </c>
      <c r="C13" s="3" t="s">
        <v>24</v>
      </c>
      <c r="D13" s="3">
        <v>1.25</v>
      </c>
      <c r="E13" s="3">
        <v>100.0</v>
      </c>
      <c r="F13" s="3">
        <v>5.0</v>
      </c>
      <c r="G13" s="4">
        <f t="shared" si="1"/>
        <v>625</v>
      </c>
    </row>
    <row r="14">
      <c r="A14" s="3" t="s">
        <v>27</v>
      </c>
      <c r="B14" s="3" t="s">
        <v>23</v>
      </c>
      <c r="D14" s="3">
        <v>1.25</v>
      </c>
      <c r="E14" s="3">
        <v>100.0</v>
      </c>
      <c r="F14" s="3">
        <v>3.0</v>
      </c>
      <c r="G14" s="4">
        <f t="shared" si="1"/>
        <v>375</v>
      </c>
    </row>
    <row r="15">
      <c r="A15" s="3" t="s">
        <v>28</v>
      </c>
      <c r="B15" s="3" t="s">
        <v>29</v>
      </c>
      <c r="D15" s="3">
        <v>1.25</v>
      </c>
      <c r="E15" s="3">
        <v>100.0</v>
      </c>
      <c r="F15" s="3">
        <v>10.0</v>
      </c>
      <c r="G15" s="4">
        <f t="shared" si="1"/>
        <v>1250</v>
      </c>
    </row>
    <row r="16">
      <c r="A16" s="3" t="s">
        <v>30</v>
      </c>
      <c r="D16" s="3">
        <v>2.0</v>
      </c>
      <c r="E16" s="3">
        <v>100.0</v>
      </c>
      <c r="F16" s="3">
        <v>14.0</v>
      </c>
      <c r="G16" s="4">
        <f t="shared" si="1"/>
        <v>2800</v>
      </c>
    </row>
    <row r="17">
      <c r="A17" s="3" t="s">
        <v>31</v>
      </c>
      <c r="B17" s="3" t="s">
        <v>32</v>
      </c>
      <c r="D17" s="3">
        <v>1.0</v>
      </c>
      <c r="E17" s="3">
        <v>100.0</v>
      </c>
      <c r="F17" s="3">
        <v>4.0</v>
      </c>
      <c r="G17" s="4">
        <f t="shared" si="1"/>
        <v>400</v>
      </c>
    </row>
    <row r="18">
      <c r="A18" s="3" t="s">
        <v>33</v>
      </c>
      <c r="B18" s="3" t="s">
        <v>34</v>
      </c>
      <c r="C18" s="3" t="s">
        <v>35</v>
      </c>
      <c r="D18" s="3">
        <v>1.15</v>
      </c>
      <c r="E18" s="3">
        <v>100.0</v>
      </c>
      <c r="F18" s="3">
        <v>3.0</v>
      </c>
      <c r="G18" s="4">
        <f t="shared" si="1"/>
        <v>345</v>
      </c>
    </row>
    <row r="19">
      <c r="A19" s="3" t="s">
        <v>36</v>
      </c>
      <c r="D19" s="3">
        <v>1.15</v>
      </c>
      <c r="E19" s="3">
        <v>100.0</v>
      </c>
      <c r="F19" s="3">
        <v>2.0</v>
      </c>
      <c r="G19" s="4">
        <f t="shared" si="1"/>
        <v>230</v>
      </c>
    </row>
    <row r="20">
      <c r="A20" s="3" t="s">
        <v>37</v>
      </c>
      <c r="B20" s="3" t="s">
        <v>38</v>
      </c>
      <c r="D20" s="3">
        <v>1.0</v>
      </c>
      <c r="E20" s="3">
        <v>100.0</v>
      </c>
      <c r="F20" s="3">
        <v>78.0</v>
      </c>
      <c r="G20" s="4">
        <f t="shared" si="1"/>
        <v>7800</v>
      </c>
    </row>
    <row r="21">
      <c r="A21" s="3" t="s">
        <v>39</v>
      </c>
      <c r="B21" s="3" t="s">
        <v>40</v>
      </c>
      <c r="D21" s="3">
        <v>1.25</v>
      </c>
      <c r="E21" s="3">
        <v>100.0</v>
      </c>
      <c r="F21" s="3">
        <v>25.0</v>
      </c>
      <c r="G21" s="4">
        <f t="shared" si="1"/>
        <v>3125</v>
      </c>
    </row>
    <row r="23">
      <c r="F23" s="4">
        <f t="shared" ref="F23:G23" si="2">SUM(F2:F21)</f>
        <v>366</v>
      </c>
      <c r="G23" s="4">
        <f t="shared" si="2"/>
        <v>49600</v>
      </c>
    </row>
  </sheetData>
  <drawing r:id="rId1"/>
</worksheet>
</file>