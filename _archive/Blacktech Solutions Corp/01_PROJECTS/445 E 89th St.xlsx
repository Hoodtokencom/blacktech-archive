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ghting" sheetId="1" r:id="rId5"/>
    <sheet state="visible" name="power" sheetId="2" r:id="rId6"/>
    <sheet state="visible" name="materials cost" sheetId="3" r:id="rId7"/>
  </sheets>
  <definedNames/>
  <calcPr/>
</workbook>
</file>

<file path=xl/sharedStrings.xml><?xml version="1.0" encoding="utf-8"?>
<sst xmlns="http://schemas.openxmlformats.org/spreadsheetml/2006/main" count="132" uniqueCount="105">
  <si>
    <t>location</t>
  </si>
  <si>
    <t>type</t>
  </si>
  <si>
    <t>switch</t>
  </si>
  <si>
    <t>light</t>
  </si>
  <si>
    <t>device</t>
  </si>
  <si>
    <t>rec room</t>
  </si>
  <si>
    <t>2x4 Led fixture</t>
  </si>
  <si>
    <t>rec room closet</t>
  </si>
  <si>
    <t>flush</t>
  </si>
  <si>
    <t>mechnical closet</t>
  </si>
  <si>
    <t>can light</t>
  </si>
  <si>
    <t>laundry area</t>
  </si>
  <si>
    <t>exterior light</t>
  </si>
  <si>
    <t>sensor controlled light</t>
  </si>
  <si>
    <t>Bathroom bsmt</t>
  </si>
  <si>
    <t>flush mount</t>
  </si>
  <si>
    <t>ceiling mount</t>
  </si>
  <si>
    <t>light/exhaust</t>
  </si>
  <si>
    <t xml:space="preserve">stairway </t>
  </si>
  <si>
    <t>First Floor</t>
  </si>
  <si>
    <t>bathroom</t>
  </si>
  <si>
    <t>ceiling/sink</t>
  </si>
  <si>
    <t>kitchen</t>
  </si>
  <si>
    <t>can/ceiling</t>
  </si>
  <si>
    <t>bedroom #2</t>
  </si>
  <si>
    <t>ceiling Fan</t>
  </si>
  <si>
    <t>dining room</t>
  </si>
  <si>
    <t>ceiling</t>
  </si>
  <si>
    <t>exterior</t>
  </si>
  <si>
    <t>wall light</t>
  </si>
  <si>
    <t>living rm</t>
  </si>
  <si>
    <t>Lighting</t>
  </si>
  <si>
    <t>Power</t>
  </si>
  <si>
    <t xml:space="preserve">Permit </t>
  </si>
  <si>
    <t>Electrical distribution</t>
  </si>
  <si>
    <t>Electrical Rough</t>
  </si>
  <si>
    <t>Electrical finish</t>
  </si>
  <si>
    <t>Garage rough</t>
  </si>
  <si>
    <t>Labor</t>
  </si>
  <si>
    <t>Material</t>
  </si>
  <si>
    <t>Rebate EV</t>
  </si>
  <si>
    <t xml:space="preserve">Total </t>
  </si>
  <si>
    <t>ComEd Electric Homes New Construction Rebate</t>
  </si>
  <si>
    <t>receptacles</t>
  </si>
  <si>
    <t>solar PV</t>
  </si>
  <si>
    <t>data</t>
  </si>
  <si>
    <t>smoke detector</t>
  </si>
  <si>
    <t>Exhaust Fans</t>
  </si>
  <si>
    <t>HPHW</t>
  </si>
  <si>
    <t>EP</t>
  </si>
  <si>
    <t>SP</t>
  </si>
  <si>
    <t>GFCI</t>
  </si>
  <si>
    <t>total</t>
  </si>
  <si>
    <t xml:space="preserve">panel </t>
  </si>
  <si>
    <t>Bedroom #1</t>
  </si>
  <si>
    <t>microwave</t>
  </si>
  <si>
    <t>stove</t>
  </si>
  <si>
    <t>dishwasher</t>
  </si>
  <si>
    <t>attic</t>
  </si>
  <si>
    <t>Location</t>
  </si>
  <si>
    <t>SF</t>
  </si>
  <si>
    <t>SFM</t>
  </si>
  <si>
    <t>total Linear ft</t>
  </si>
  <si>
    <t>total cost</t>
  </si>
  <si>
    <t>Notes</t>
  </si>
  <si>
    <t>Conduit-1/2</t>
  </si>
  <si>
    <t>conduit-1 PVC</t>
  </si>
  <si>
    <t>Garage</t>
  </si>
  <si>
    <t>RMC-2in</t>
  </si>
  <si>
    <t>Quantity</t>
  </si>
  <si>
    <t>Price</t>
  </si>
  <si>
    <t>Total</t>
  </si>
  <si>
    <t>Receptacle</t>
  </si>
  <si>
    <t>1900 boxes</t>
  </si>
  <si>
    <t>switches</t>
  </si>
  <si>
    <t>wire nuts</t>
  </si>
  <si>
    <t>screws</t>
  </si>
  <si>
    <t>smart panel</t>
  </si>
  <si>
    <t>smart panel breakers</t>
  </si>
  <si>
    <t>Smart wifi breakers</t>
  </si>
  <si>
    <t>wire #12</t>
  </si>
  <si>
    <t>Meter Fitting</t>
  </si>
  <si>
    <t>wire # 10</t>
  </si>
  <si>
    <t>wire # 8</t>
  </si>
  <si>
    <t xml:space="preserve">Garage </t>
  </si>
  <si>
    <t>ceiling Fan boxes</t>
  </si>
  <si>
    <t>canlights</t>
  </si>
  <si>
    <t>coupling</t>
  </si>
  <si>
    <t>connnectors</t>
  </si>
  <si>
    <t>Grounding brushing</t>
  </si>
  <si>
    <t>Grounding wire #6</t>
  </si>
  <si>
    <t>Grounding strap</t>
  </si>
  <si>
    <t>Grounding tags</t>
  </si>
  <si>
    <t>2’ Lb Mogul type</t>
  </si>
  <si>
    <t>2’ Nipple</t>
  </si>
  <si>
    <t>2’ locknuts</t>
  </si>
  <si>
    <t>straps</t>
  </si>
  <si>
    <t>2' weatherhead</t>
  </si>
  <si>
    <t>1' 90 degree RMC</t>
  </si>
  <si>
    <t>1' male connector</t>
  </si>
  <si>
    <t>pvc primer and glue</t>
  </si>
  <si>
    <t>1’ pvc couplings</t>
  </si>
  <si>
    <t>Surge protector</t>
  </si>
  <si>
    <t>60amp disconnect</t>
  </si>
  <si>
    <t>Taxes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</si>
</sst>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&quot;$&quot;#,##0"/>
    <numFmt numFmtId="166" formatCode="m/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2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3" fontId="1" numFmtId="0" xfId="0" applyFill="1" applyFont="1"/>
    <xf borderId="0" fillId="3" fontId="2" numFmtId="0" xfId="0" applyAlignment="1" applyFont="1">
      <alignment readingOrder="0"/>
    </xf>
    <xf borderId="0" fillId="3" fontId="2" numFmtId="164" xfId="0" applyFont="1" applyNumberFormat="1"/>
    <xf borderId="0" fillId="0" fontId="2" numFmtId="0" xfId="0" applyFont="1"/>
    <xf borderId="0" fillId="0" fontId="1" numFmtId="164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13"/>
    <col customWidth="1" min="6" max="6" width="4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3">
        <v>2.0</v>
      </c>
      <c r="D2" s="3">
        <v>3.0</v>
      </c>
      <c r="E2" s="4">
        <f t="shared" ref="E2:E11" si="1">SUM(C2:D2)</f>
        <v>5</v>
      </c>
    </row>
    <row r="3">
      <c r="A3" s="3" t="s">
        <v>7</v>
      </c>
      <c r="B3" s="3" t="s">
        <v>8</v>
      </c>
      <c r="C3" s="3">
        <v>2.0</v>
      </c>
      <c r="D3" s="3">
        <v>2.0</v>
      </c>
      <c r="E3" s="4">
        <f t="shared" si="1"/>
        <v>4</v>
      </c>
    </row>
    <row r="4">
      <c r="A4" s="3" t="s">
        <v>9</v>
      </c>
      <c r="B4" s="3" t="s">
        <v>8</v>
      </c>
      <c r="C4" s="3">
        <v>1.0</v>
      </c>
      <c r="D4" s="3">
        <v>2.0</v>
      </c>
      <c r="E4" s="4">
        <f t="shared" si="1"/>
        <v>3</v>
      </c>
    </row>
    <row r="5">
      <c r="A5" s="3" t="s">
        <v>5</v>
      </c>
      <c r="B5" s="3" t="s">
        <v>10</v>
      </c>
      <c r="C5" s="3">
        <v>1.0</v>
      </c>
      <c r="D5" s="3">
        <v>1.0</v>
      </c>
      <c r="E5" s="4">
        <f t="shared" si="1"/>
        <v>2</v>
      </c>
    </row>
    <row r="6">
      <c r="A6" s="3" t="s">
        <v>11</v>
      </c>
      <c r="B6" s="3" t="s">
        <v>10</v>
      </c>
      <c r="C6" s="3">
        <v>1.0</v>
      </c>
      <c r="D6" s="3">
        <v>3.0</v>
      </c>
      <c r="E6" s="4">
        <f t="shared" si="1"/>
        <v>4</v>
      </c>
    </row>
    <row r="7">
      <c r="A7" s="3" t="s">
        <v>12</v>
      </c>
      <c r="B7" s="3" t="s">
        <v>13</v>
      </c>
      <c r="C7" s="3">
        <v>1.0</v>
      </c>
      <c r="D7" s="3">
        <v>1.0</v>
      </c>
      <c r="E7" s="4">
        <f t="shared" si="1"/>
        <v>2</v>
      </c>
    </row>
    <row r="8">
      <c r="A8" s="3" t="s">
        <v>14</v>
      </c>
      <c r="B8" s="3" t="s">
        <v>15</v>
      </c>
      <c r="C8" s="3">
        <v>1.0</v>
      </c>
      <c r="D8" s="3">
        <v>1.0</v>
      </c>
      <c r="E8" s="4">
        <f t="shared" si="1"/>
        <v>2</v>
      </c>
    </row>
    <row r="9">
      <c r="A9" s="3" t="s">
        <v>14</v>
      </c>
      <c r="B9" s="3" t="s">
        <v>16</v>
      </c>
      <c r="C9" s="3">
        <v>1.0</v>
      </c>
      <c r="D9" s="3">
        <v>1.0</v>
      </c>
      <c r="E9" s="4">
        <f t="shared" si="1"/>
        <v>2</v>
      </c>
    </row>
    <row r="10">
      <c r="A10" s="3" t="s">
        <v>14</v>
      </c>
      <c r="B10" s="3" t="s">
        <v>17</v>
      </c>
      <c r="C10" s="3">
        <v>1.0</v>
      </c>
      <c r="D10" s="3">
        <v>1.0</v>
      </c>
      <c r="E10" s="4">
        <f t="shared" si="1"/>
        <v>2</v>
      </c>
    </row>
    <row r="11">
      <c r="A11" s="3" t="s">
        <v>18</v>
      </c>
      <c r="B11" s="3" t="s">
        <v>10</v>
      </c>
      <c r="C11" s="3">
        <v>1.0</v>
      </c>
      <c r="D11" s="3">
        <v>1.0</v>
      </c>
      <c r="E11" s="4">
        <f t="shared" si="1"/>
        <v>2</v>
      </c>
    </row>
    <row r="13">
      <c r="A13" s="1" t="s">
        <v>19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20</v>
      </c>
      <c r="B14" s="3" t="s">
        <v>21</v>
      </c>
      <c r="C14" s="3">
        <v>2.0</v>
      </c>
      <c r="D14" s="3">
        <v>2.0</v>
      </c>
      <c r="E14" s="4">
        <f t="shared" ref="E14:E19" si="2">SUM(C14:D14)</f>
        <v>4</v>
      </c>
    </row>
    <row r="15">
      <c r="A15" s="3" t="s">
        <v>22</v>
      </c>
      <c r="B15" s="3" t="s">
        <v>23</v>
      </c>
      <c r="C15" s="3">
        <v>3.0</v>
      </c>
      <c r="D15" s="3">
        <v>2.0</v>
      </c>
      <c r="E15" s="4">
        <f t="shared" si="2"/>
        <v>5</v>
      </c>
    </row>
    <row r="16">
      <c r="A16" s="3" t="s">
        <v>24</v>
      </c>
      <c r="B16" s="3" t="s">
        <v>25</v>
      </c>
      <c r="C16" s="3">
        <v>1.0</v>
      </c>
      <c r="D16" s="3">
        <v>1.0</v>
      </c>
      <c r="E16" s="4">
        <f t="shared" si="2"/>
        <v>2</v>
      </c>
    </row>
    <row r="17">
      <c r="A17" s="3" t="s">
        <v>26</v>
      </c>
      <c r="B17" s="3" t="s">
        <v>27</v>
      </c>
      <c r="C17" s="3">
        <v>1.0</v>
      </c>
      <c r="D17" s="3">
        <v>1.0</v>
      </c>
      <c r="E17" s="4">
        <f t="shared" si="2"/>
        <v>2</v>
      </c>
    </row>
    <row r="18">
      <c r="A18" s="3" t="s">
        <v>28</v>
      </c>
      <c r="B18" s="3" t="s">
        <v>29</v>
      </c>
      <c r="D18" s="3">
        <v>3.0</v>
      </c>
      <c r="E18" s="4">
        <f t="shared" si="2"/>
        <v>3</v>
      </c>
    </row>
    <row r="19">
      <c r="A19" s="3" t="s">
        <v>30</v>
      </c>
      <c r="B19" s="3" t="s">
        <v>23</v>
      </c>
      <c r="C19" s="3">
        <v>2.0</v>
      </c>
      <c r="D19" s="3">
        <v>2.0</v>
      </c>
      <c r="E19" s="4">
        <f t="shared" si="2"/>
        <v>4</v>
      </c>
    </row>
    <row r="20">
      <c r="C20" s="4">
        <f t="shared" ref="C20:E20" si="3">SUM(C2:C19)</f>
        <v>21</v>
      </c>
      <c r="D20" s="4">
        <f t="shared" si="3"/>
        <v>27</v>
      </c>
      <c r="E20" s="4">
        <f t="shared" si="3"/>
        <v>48</v>
      </c>
    </row>
    <row r="23">
      <c r="D23" s="3" t="s">
        <v>31</v>
      </c>
      <c r="E23" s="4">
        <f>E20</f>
        <v>48</v>
      </c>
    </row>
    <row r="24">
      <c r="D24" s="3" t="s">
        <v>32</v>
      </c>
      <c r="E24" s="3">
        <v>90.0</v>
      </c>
    </row>
    <row r="25">
      <c r="E25" s="4">
        <f>sum(E23:E24)</f>
        <v>138</v>
      </c>
      <c r="F25" s="5"/>
      <c r="G25" s="6">
        <f>sum(E27:E30)</f>
        <v>0</v>
      </c>
    </row>
    <row r="26">
      <c r="F26" s="7" t="s">
        <v>33</v>
      </c>
      <c r="G26" s="8">
        <v>950.0</v>
      </c>
    </row>
    <row r="27">
      <c r="F27" s="5" t="s">
        <v>34</v>
      </c>
      <c r="G27" s="7">
        <v>3780.0</v>
      </c>
    </row>
    <row r="28">
      <c r="F28" s="5" t="s">
        <v>35</v>
      </c>
      <c r="G28" s="7">
        <v>16602.5</v>
      </c>
    </row>
    <row r="29">
      <c r="F29" s="5" t="s">
        <v>36</v>
      </c>
      <c r="G29" s="7">
        <v>2160.0</v>
      </c>
    </row>
    <row r="30">
      <c r="F30" s="5" t="s">
        <v>37</v>
      </c>
      <c r="G30" s="7">
        <v>2490.0</v>
      </c>
    </row>
    <row r="31">
      <c r="A31" s="9"/>
      <c r="B31" s="9"/>
      <c r="C31" s="9"/>
      <c r="D31" s="9"/>
      <c r="E31" s="9">
        <f>sum(E29:E30)</f>
        <v>0</v>
      </c>
      <c r="F31" s="10" t="s">
        <v>38</v>
      </c>
      <c r="G31" s="11">
        <f>sum(G25:Z30)</f>
        <v>25982.5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F32" s="5" t="s">
        <v>39</v>
      </c>
      <c r="G32" s="7">
        <v>-5251.15</v>
      </c>
      <c r="H32" s="7">
        <v>-5251.15</v>
      </c>
    </row>
    <row r="33">
      <c r="F33" s="7" t="s">
        <v>40</v>
      </c>
      <c r="G33" s="7">
        <v>3750.0</v>
      </c>
      <c r="H33" s="7">
        <v>-3750.0</v>
      </c>
    </row>
    <row r="34">
      <c r="F34" s="7" t="s">
        <v>41</v>
      </c>
      <c r="G34" s="6">
        <f>SUM(G31:G33)</f>
        <v>24481.35</v>
      </c>
    </row>
    <row r="35">
      <c r="G35" s="12"/>
    </row>
    <row r="37">
      <c r="F37" s="3" t="s">
        <v>42</v>
      </c>
      <c r="G37" s="13">
        <v>5000.0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5</v>
      </c>
      <c r="B2" s="3">
        <v>11.0</v>
      </c>
      <c r="C2" s="3"/>
      <c r="D2" s="3"/>
      <c r="E2" s="3"/>
      <c r="K2" s="4">
        <f t="shared" ref="K2:K24" si="1">SUM(B2:J2)</f>
        <v>11</v>
      </c>
    </row>
    <row r="3">
      <c r="A3" s="3" t="s">
        <v>7</v>
      </c>
      <c r="B3" s="3">
        <v>2.0</v>
      </c>
      <c r="C3" s="3"/>
      <c r="D3" s="3"/>
      <c r="E3" s="3">
        <v>1.0</v>
      </c>
      <c r="K3" s="4">
        <f t="shared" si="1"/>
        <v>3</v>
      </c>
    </row>
    <row r="4">
      <c r="A4" s="3" t="s">
        <v>9</v>
      </c>
      <c r="B4" s="3">
        <v>1.0</v>
      </c>
      <c r="C4" s="3"/>
      <c r="D4" s="3"/>
      <c r="G4" s="3">
        <v>1.0</v>
      </c>
      <c r="H4" s="3">
        <v>1.0</v>
      </c>
      <c r="I4" s="3">
        <v>1.0</v>
      </c>
      <c r="K4" s="4">
        <f t="shared" si="1"/>
        <v>4</v>
      </c>
    </row>
    <row r="5">
      <c r="A5" s="3" t="s">
        <v>5</v>
      </c>
      <c r="K5" s="4">
        <f t="shared" si="1"/>
        <v>0</v>
      </c>
    </row>
    <row r="6">
      <c r="A6" s="3" t="s">
        <v>11</v>
      </c>
      <c r="B6" s="3">
        <v>6.0</v>
      </c>
      <c r="C6" s="3"/>
      <c r="D6" s="3"/>
      <c r="E6" s="3">
        <v>1.0</v>
      </c>
      <c r="J6" s="3">
        <v>3.0</v>
      </c>
      <c r="K6" s="4">
        <f t="shared" si="1"/>
        <v>10</v>
      </c>
    </row>
    <row r="7">
      <c r="A7" s="3" t="s">
        <v>12</v>
      </c>
      <c r="J7" s="3">
        <v>1.0</v>
      </c>
      <c r="K7" s="4">
        <f t="shared" si="1"/>
        <v>1</v>
      </c>
    </row>
    <row r="8">
      <c r="A8" s="3" t="s">
        <v>14</v>
      </c>
      <c r="F8" s="3">
        <v>2.0</v>
      </c>
      <c r="J8" s="3">
        <v>3.0</v>
      </c>
      <c r="K8" s="4">
        <f t="shared" si="1"/>
        <v>5</v>
      </c>
    </row>
    <row r="9">
      <c r="A9" s="3" t="s">
        <v>14</v>
      </c>
      <c r="K9" s="4">
        <f t="shared" si="1"/>
        <v>0</v>
      </c>
    </row>
    <row r="10">
      <c r="A10" s="3" t="s">
        <v>14</v>
      </c>
      <c r="K10" s="4">
        <f t="shared" si="1"/>
        <v>0</v>
      </c>
    </row>
    <row r="11">
      <c r="A11" s="3" t="s">
        <v>18</v>
      </c>
      <c r="K11" s="4">
        <f t="shared" si="1"/>
        <v>0</v>
      </c>
    </row>
    <row r="12">
      <c r="A12" s="3" t="s">
        <v>53</v>
      </c>
      <c r="C12" s="3">
        <v>1.0</v>
      </c>
      <c r="K12" s="4">
        <f t="shared" si="1"/>
        <v>1</v>
      </c>
    </row>
    <row r="13">
      <c r="A13" s="1" t="s">
        <v>19</v>
      </c>
      <c r="B13" s="2"/>
      <c r="C13" s="2"/>
      <c r="D13" s="2"/>
      <c r="E13" s="2"/>
      <c r="F13" s="2"/>
      <c r="G13" s="2"/>
      <c r="H13" s="2"/>
      <c r="I13" s="2"/>
      <c r="J13" s="2"/>
      <c r="K13" s="4">
        <f t="shared" si="1"/>
        <v>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3" t="s">
        <v>30</v>
      </c>
      <c r="B14" s="3">
        <v>10.0</v>
      </c>
      <c r="C14" s="3"/>
      <c r="D14" s="3"/>
      <c r="K14" s="4">
        <f t="shared" si="1"/>
        <v>10</v>
      </c>
    </row>
    <row r="15">
      <c r="A15" s="3" t="s">
        <v>54</v>
      </c>
      <c r="B15" s="3">
        <v>6.0</v>
      </c>
      <c r="C15" s="3"/>
      <c r="D15" s="3"/>
      <c r="E15" s="3">
        <v>1.0</v>
      </c>
      <c r="K15" s="4">
        <f t="shared" si="1"/>
        <v>7</v>
      </c>
    </row>
    <row r="16">
      <c r="A16" s="3" t="s">
        <v>20</v>
      </c>
      <c r="B16" s="3">
        <v>2.0</v>
      </c>
      <c r="C16" s="3"/>
      <c r="D16" s="3"/>
      <c r="F16" s="3">
        <v>1.0</v>
      </c>
      <c r="J16" s="3">
        <v>2.0</v>
      </c>
      <c r="K16" s="4">
        <f t="shared" si="1"/>
        <v>5</v>
      </c>
    </row>
    <row r="17">
      <c r="A17" s="3" t="s">
        <v>22</v>
      </c>
      <c r="B17" s="3">
        <v>2.0</v>
      </c>
      <c r="C17" s="3"/>
      <c r="D17" s="3">
        <v>1.0</v>
      </c>
      <c r="J17" s="3">
        <v>6.0</v>
      </c>
      <c r="K17" s="4">
        <f t="shared" si="1"/>
        <v>9</v>
      </c>
    </row>
    <row r="18">
      <c r="A18" s="3" t="s">
        <v>24</v>
      </c>
      <c r="B18" s="3">
        <v>6.0</v>
      </c>
      <c r="C18" s="3"/>
      <c r="D18" s="3"/>
      <c r="E18" s="3">
        <v>1.0</v>
      </c>
      <c r="K18" s="4">
        <f t="shared" si="1"/>
        <v>7</v>
      </c>
    </row>
    <row r="19">
      <c r="A19" s="3" t="s">
        <v>26</v>
      </c>
      <c r="B19" s="3">
        <v>4.0</v>
      </c>
      <c r="C19" s="3"/>
      <c r="D19" s="3"/>
      <c r="E19" s="3">
        <v>2.0</v>
      </c>
      <c r="K19" s="4">
        <f t="shared" si="1"/>
        <v>6</v>
      </c>
    </row>
    <row r="20">
      <c r="A20" s="3" t="s">
        <v>28</v>
      </c>
      <c r="C20" s="3"/>
      <c r="D20" s="3">
        <v>2.0</v>
      </c>
      <c r="J20" s="3">
        <v>2.0</v>
      </c>
      <c r="K20" s="4">
        <f t="shared" si="1"/>
        <v>4</v>
      </c>
    </row>
    <row r="21">
      <c r="A21" s="3" t="s">
        <v>55</v>
      </c>
      <c r="B21" s="3">
        <v>1.0</v>
      </c>
      <c r="C21" s="3"/>
      <c r="D21" s="3"/>
      <c r="K21" s="4">
        <f t="shared" si="1"/>
        <v>1</v>
      </c>
    </row>
    <row r="22">
      <c r="A22" s="3" t="s">
        <v>56</v>
      </c>
      <c r="B22" s="3">
        <v>1.0</v>
      </c>
      <c r="C22" s="3"/>
      <c r="D22" s="3"/>
      <c r="K22" s="4">
        <f t="shared" si="1"/>
        <v>1</v>
      </c>
    </row>
    <row r="23">
      <c r="A23" s="3" t="s">
        <v>57</v>
      </c>
      <c r="B23" s="3">
        <v>1.0</v>
      </c>
      <c r="C23" s="3"/>
      <c r="D23" s="3"/>
      <c r="K23" s="4">
        <f t="shared" si="1"/>
        <v>1</v>
      </c>
    </row>
    <row r="24">
      <c r="A24" s="3" t="s">
        <v>58</v>
      </c>
      <c r="B24" s="3">
        <v>5.0</v>
      </c>
      <c r="C24" s="3"/>
      <c r="D24" s="3"/>
      <c r="E24" s="3">
        <v>1.0</v>
      </c>
      <c r="K24" s="4">
        <f t="shared" si="1"/>
        <v>6</v>
      </c>
    </row>
    <row r="25">
      <c r="B25" s="4">
        <f>SUM(B2:B24)</f>
        <v>58</v>
      </c>
      <c r="D25" s="4">
        <f t="shared" ref="D25:I25" si="2">SUM(D2:D24)</f>
        <v>3</v>
      </c>
      <c r="E25" s="4">
        <f t="shared" si="2"/>
        <v>7</v>
      </c>
      <c r="F25" s="4">
        <f t="shared" si="2"/>
        <v>3</v>
      </c>
      <c r="G25" s="4">
        <f t="shared" si="2"/>
        <v>1</v>
      </c>
      <c r="H25" s="4">
        <f t="shared" si="2"/>
        <v>1</v>
      </c>
      <c r="I25" s="4">
        <f t="shared" si="2"/>
        <v>1</v>
      </c>
      <c r="J25" s="4">
        <f>SUM(J14:J24)</f>
        <v>10</v>
      </c>
      <c r="K25" s="4">
        <f>SUM(K2:K24)</f>
        <v>92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7.25"/>
  </cols>
  <sheetData>
    <row r="1">
      <c r="A1" s="3" t="s">
        <v>59</v>
      </c>
      <c r="B1" s="3" t="s">
        <v>60</v>
      </c>
      <c r="C1" s="3" t="s">
        <v>61</v>
      </c>
      <c r="D1" s="3" t="s">
        <v>62</v>
      </c>
      <c r="E1" s="3" t="s">
        <v>63</v>
      </c>
      <c r="F1" s="3" t="s">
        <v>64</v>
      </c>
    </row>
    <row r="2">
      <c r="A2" s="3" t="s">
        <v>65</v>
      </c>
      <c r="B2" s="3">
        <v>1400.0</v>
      </c>
      <c r="C2" s="3">
        <v>2.0</v>
      </c>
      <c r="D2" s="4">
        <f t="shared" ref="D2:D4" si="1">SUM(B2/C2)</f>
        <v>700</v>
      </c>
      <c r="E2" s="4">
        <f t="shared" ref="E2:E3" si="2">sum(D2*1.2)</f>
        <v>840</v>
      </c>
    </row>
    <row r="3">
      <c r="A3" s="3" t="s">
        <v>66</v>
      </c>
      <c r="B3" s="3">
        <v>90.0</v>
      </c>
      <c r="C3" s="3">
        <v>2.0</v>
      </c>
      <c r="D3" s="4">
        <f t="shared" si="1"/>
        <v>45</v>
      </c>
      <c r="E3" s="4">
        <f t="shared" si="2"/>
        <v>54</v>
      </c>
      <c r="F3" s="3" t="s">
        <v>67</v>
      </c>
    </row>
    <row r="4">
      <c r="A4" s="3" t="s">
        <v>68</v>
      </c>
      <c r="B4" s="3">
        <v>20.0</v>
      </c>
      <c r="C4" s="3">
        <v>2.0</v>
      </c>
      <c r="D4" s="4">
        <f t="shared" si="1"/>
        <v>10</v>
      </c>
      <c r="E4" s="4">
        <f>sum(D4*3.2)</f>
        <v>32</v>
      </c>
    </row>
    <row r="5">
      <c r="A5" s="3"/>
    </row>
    <row r="6">
      <c r="A6" s="3" t="s">
        <v>59</v>
      </c>
      <c r="B6" s="3" t="s">
        <v>69</v>
      </c>
      <c r="C6" s="3" t="s">
        <v>70</v>
      </c>
      <c r="E6" s="3" t="s">
        <v>71</v>
      </c>
    </row>
    <row r="7">
      <c r="A7" s="3" t="s">
        <v>72</v>
      </c>
      <c r="B7" s="3">
        <v>57.0</v>
      </c>
      <c r="C7" s="3">
        <v>0.25</v>
      </c>
      <c r="E7" s="4">
        <f t="shared" ref="E7:E37" si="3">sum(B7*C7)</f>
        <v>14.25</v>
      </c>
    </row>
    <row r="8">
      <c r="A8" s="3" t="s">
        <v>73</v>
      </c>
      <c r="B8" s="3">
        <v>144.0</v>
      </c>
      <c r="C8" s="3">
        <v>0.75</v>
      </c>
      <c r="E8" s="4">
        <f t="shared" si="3"/>
        <v>108</v>
      </c>
    </row>
    <row r="9">
      <c r="A9" s="3" t="s">
        <v>74</v>
      </c>
      <c r="B9" s="3">
        <v>21.0</v>
      </c>
      <c r="C9" s="3">
        <v>0.25</v>
      </c>
      <c r="E9" s="4">
        <f t="shared" si="3"/>
        <v>5.25</v>
      </c>
    </row>
    <row r="10">
      <c r="A10" s="3" t="s">
        <v>75</v>
      </c>
      <c r="B10" s="3">
        <v>2.0</v>
      </c>
      <c r="C10" s="3">
        <v>15.0</v>
      </c>
      <c r="E10" s="4">
        <f t="shared" si="3"/>
        <v>30</v>
      </c>
    </row>
    <row r="11">
      <c r="A11" s="3" t="s">
        <v>76</v>
      </c>
      <c r="B11" s="3">
        <v>1.0</v>
      </c>
      <c r="C11" s="3">
        <v>7.0</v>
      </c>
      <c r="E11" s="4">
        <f t="shared" si="3"/>
        <v>7</v>
      </c>
    </row>
    <row r="12">
      <c r="A12" s="3" t="s">
        <v>77</v>
      </c>
      <c r="B12" s="3">
        <v>1.0</v>
      </c>
      <c r="C12" s="3">
        <v>150.0</v>
      </c>
      <c r="E12" s="4">
        <f t="shared" si="3"/>
        <v>150</v>
      </c>
    </row>
    <row r="13">
      <c r="A13" s="3" t="s">
        <v>78</v>
      </c>
      <c r="B13" s="3">
        <v>12.0</v>
      </c>
      <c r="C13" s="3">
        <v>7.0</v>
      </c>
      <c r="E13" s="4">
        <f t="shared" si="3"/>
        <v>84</v>
      </c>
    </row>
    <row r="14">
      <c r="A14" s="3" t="s">
        <v>79</v>
      </c>
      <c r="B14" s="3">
        <v>6.0</v>
      </c>
      <c r="C14" s="3">
        <v>55.0</v>
      </c>
      <c r="E14" s="4">
        <f t="shared" si="3"/>
        <v>330</v>
      </c>
    </row>
    <row r="15">
      <c r="A15" s="3" t="s">
        <v>80</v>
      </c>
      <c r="B15" s="3">
        <v>8.0</v>
      </c>
      <c r="C15" s="3">
        <v>150.0</v>
      </c>
      <c r="E15" s="4">
        <f t="shared" si="3"/>
        <v>1200</v>
      </c>
    </row>
    <row r="16">
      <c r="A16" s="3" t="s">
        <v>81</v>
      </c>
      <c r="B16" s="3">
        <v>1.0</v>
      </c>
      <c r="C16" s="3">
        <v>125.0</v>
      </c>
      <c r="E16" s="4">
        <f t="shared" si="3"/>
        <v>125</v>
      </c>
    </row>
    <row r="17">
      <c r="A17" s="3" t="s">
        <v>82</v>
      </c>
      <c r="B17" s="3">
        <v>2.0</v>
      </c>
      <c r="C17" s="3">
        <v>165.0</v>
      </c>
      <c r="E17" s="4">
        <f t="shared" si="3"/>
        <v>330</v>
      </c>
    </row>
    <row r="18">
      <c r="A18" s="3" t="s">
        <v>83</v>
      </c>
      <c r="B18" s="3">
        <v>2.0</v>
      </c>
      <c r="C18" s="3">
        <v>225.0</v>
      </c>
      <c r="E18" s="4">
        <f t="shared" si="3"/>
        <v>450</v>
      </c>
      <c r="F18" s="3" t="s">
        <v>84</v>
      </c>
    </row>
    <row r="19">
      <c r="A19" s="3" t="s">
        <v>85</v>
      </c>
      <c r="B19" s="3">
        <v>4.0</v>
      </c>
      <c r="C19" s="3">
        <v>10.0</v>
      </c>
      <c r="E19" s="4">
        <f t="shared" si="3"/>
        <v>40</v>
      </c>
    </row>
    <row r="20">
      <c r="A20" s="3" t="s">
        <v>86</v>
      </c>
      <c r="B20" s="3">
        <v>20.0</v>
      </c>
      <c r="C20" s="3">
        <v>6.5</v>
      </c>
      <c r="E20" s="4">
        <f t="shared" si="3"/>
        <v>130</v>
      </c>
    </row>
    <row r="21">
      <c r="A21" s="3" t="s">
        <v>87</v>
      </c>
      <c r="B21" s="3">
        <v>3.0</v>
      </c>
      <c r="C21" s="3">
        <v>15.0</v>
      </c>
      <c r="E21" s="4">
        <f t="shared" si="3"/>
        <v>45</v>
      </c>
      <c r="F21" s="14">
        <v>45293.0</v>
      </c>
    </row>
    <row r="22">
      <c r="A22" s="3" t="s">
        <v>88</v>
      </c>
      <c r="B22" s="3">
        <v>3.0</v>
      </c>
      <c r="C22" s="3">
        <v>15.0</v>
      </c>
      <c r="E22" s="4">
        <f t="shared" si="3"/>
        <v>45</v>
      </c>
      <c r="F22" s="14">
        <v>45293.0</v>
      </c>
    </row>
    <row r="23">
      <c r="A23" s="3" t="s">
        <v>89</v>
      </c>
      <c r="B23" s="3">
        <v>2.0</v>
      </c>
      <c r="C23" s="3">
        <v>3.0</v>
      </c>
      <c r="E23" s="4">
        <f t="shared" si="3"/>
        <v>6</v>
      </c>
      <c r="F23" s="14"/>
    </row>
    <row r="24">
      <c r="A24" s="3" t="s">
        <v>90</v>
      </c>
      <c r="B24" s="3">
        <v>1.0</v>
      </c>
      <c r="C24" s="3">
        <v>100.0</v>
      </c>
      <c r="E24" s="4">
        <f t="shared" si="3"/>
        <v>100</v>
      </c>
      <c r="F24" s="14"/>
    </row>
    <row r="25">
      <c r="A25" s="3" t="s">
        <v>91</v>
      </c>
      <c r="B25" s="3">
        <v>2.0</v>
      </c>
      <c r="C25" s="3">
        <v>3.5</v>
      </c>
      <c r="E25" s="4">
        <f t="shared" si="3"/>
        <v>7</v>
      </c>
      <c r="F25" s="14"/>
    </row>
    <row r="26">
      <c r="A26" s="3" t="s">
        <v>92</v>
      </c>
      <c r="B26" s="3">
        <v>2.0</v>
      </c>
      <c r="C26" s="3">
        <v>1.0</v>
      </c>
      <c r="E26" s="4">
        <f t="shared" si="3"/>
        <v>2</v>
      </c>
      <c r="F26" s="14"/>
    </row>
    <row r="27">
      <c r="A27" s="3" t="s">
        <v>93</v>
      </c>
      <c r="B27" s="3">
        <v>1.0</v>
      </c>
      <c r="C27" s="3">
        <v>15.0</v>
      </c>
      <c r="E27" s="4">
        <f t="shared" si="3"/>
        <v>15</v>
      </c>
      <c r="F27" s="14"/>
    </row>
    <row r="28">
      <c r="A28" s="3" t="s">
        <v>94</v>
      </c>
      <c r="B28" s="3">
        <v>1.0</v>
      </c>
      <c r="C28" s="3">
        <v>15.0</v>
      </c>
      <c r="E28" s="4">
        <f t="shared" si="3"/>
        <v>15</v>
      </c>
      <c r="F28" s="14"/>
    </row>
    <row r="29">
      <c r="A29" s="3" t="s">
        <v>95</v>
      </c>
      <c r="B29" s="3">
        <v>4.0</v>
      </c>
      <c r="C29" s="3">
        <v>5.0</v>
      </c>
      <c r="E29" s="4">
        <f t="shared" si="3"/>
        <v>20</v>
      </c>
      <c r="F29" s="14"/>
    </row>
    <row r="30">
      <c r="A30" s="3" t="s">
        <v>96</v>
      </c>
      <c r="B30" s="3">
        <v>2.0</v>
      </c>
      <c r="C30" s="3">
        <v>12.0</v>
      </c>
      <c r="E30" s="4">
        <f t="shared" si="3"/>
        <v>24</v>
      </c>
      <c r="F30" s="14">
        <v>45293.0</v>
      </c>
    </row>
    <row r="31">
      <c r="A31" s="3" t="s">
        <v>97</v>
      </c>
      <c r="B31" s="3">
        <v>1.0</v>
      </c>
      <c r="C31" s="3">
        <v>15.0</v>
      </c>
      <c r="E31" s="4">
        <f t="shared" si="3"/>
        <v>15</v>
      </c>
    </row>
    <row r="32">
      <c r="A32" s="3" t="s">
        <v>98</v>
      </c>
      <c r="B32" s="3">
        <v>2.0</v>
      </c>
      <c r="C32" s="3">
        <v>8.0</v>
      </c>
      <c r="E32" s="4">
        <f t="shared" si="3"/>
        <v>16</v>
      </c>
    </row>
    <row r="33">
      <c r="A33" s="3" t="s">
        <v>99</v>
      </c>
      <c r="B33" s="3">
        <v>2.0</v>
      </c>
      <c r="C33" s="3">
        <v>2.0</v>
      </c>
      <c r="E33" s="4">
        <f t="shared" si="3"/>
        <v>4</v>
      </c>
    </row>
    <row r="34">
      <c r="A34" s="3" t="s">
        <v>100</v>
      </c>
      <c r="B34" s="3">
        <v>1.0</v>
      </c>
      <c r="C34" s="3">
        <v>12.0</v>
      </c>
      <c r="E34" s="4">
        <f t="shared" si="3"/>
        <v>12</v>
      </c>
    </row>
    <row r="35">
      <c r="A35" s="3" t="s">
        <v>101</v>
      </c>
      <c r="B35" s="3">
        <v>4.0</v>
      </c>
      <c r="C35" s="3">
        <v>2.0</v>
      </c>
      <c r="E35" s="4">
        <f t="shared" si="3"/>
        <v>8</v>
      </c>
    </row>
    <row r="36">
      <c r="A36" s="3" t="s">
        <v>102</v>
      </c>
      <c r="B36" s="3">
        <v>1.0</v>
      </c>
      <c r="C36" s="3">
        <v>350.0</v>
      </c>
      <c r="E36" s="4">
        <f t="shared" si="3"/>
        <v>350</v>
      </c>
    </row>
    <row r="37">
      <c r="A37" s="3" t="s">
        <v>103</v>
      </c>
      <c r="B37" s="3">
        <v>1.0</v>
      </c>
      <c r="C37" s="3">
        <v>75.0</v>
      </c>
      <c r="E37" s="4">
        <f t="shared" si="3"/>
        <v>75</v>
      </c>
    </row>
    <row r="38">
      <c r="A38" s="3"/>
      <c r="B38" s="3"/>
      <c r="C38" s="3"/>
    </row>
    <row r="39">
      <c r="D39" s="12"/>
      <c r="E39" s="6">
        <f>SUM(E2:E37)</f>
        <v>4688.5</v>
      </c>
    </row>
    <row r="40">
      <c r="D40" s="5" t="s">
        <v>104</v>
      </c>
      <c r="E40" s="6">
        <f>sum(E39*0.12)</f>
        <v>562.62</v>
      </c>
    </row>
    <row r="41">
      <c r="D41" s="5" t="s">
        <v>71</v>
      </c>
      <c r="E41" s="6">
        <f>Sum(E39:E40)</f>
        <v>5251.12</v>
      </c>
    </row>
  </sheetData>
  <drawing r:id="rId1"/>
</worksheet>
</file>