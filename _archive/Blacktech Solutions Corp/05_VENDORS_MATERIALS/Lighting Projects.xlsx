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aire State CLC BLDG" sheetId="1" r:id="rId5"/>
    <sheet state="visible" name="praire State K BLDG" sheetId="2" r:id="rId6"/>
    <sheet state="visible" name="praire State health BLDG" sheetId="3" r:id="rId7"/>
    <sheet state="visible" name="Praire State TLW BLDG" sheetId="4" r:id="rId8"/>
    <sheet state="visible" name=" Praire State ATOC BLDG" sheetId="5" r:id="rId9"/>
    <sheet state="visible" name=" Praire State MAIN BLDG" sheetId="6" r:id="rId10"/>
    <sheet state="visible" name=" Praire State MAC BLDG" sheetId="7" r:id="rId11"/>
    <sheet state="visible" name="Taft" sheetId="8" r:id="rId12"/>
  </sheets>
  <definedNames/>
  <calcPr/>
</workbook>
</file>

<file path=xl/sharedStrings.xml><?xml version="1.0" encoding="utf-8"?>
<sst xmlns="http://schemas.openxmlformats.org/spreadsheetml/2006/main" count="113" uniqueCount="48">
  <si>
    <t>B2*G2</t>
  </si>
  <si>
    <t>Description</t>
  </si>
  <si>
    <t>quantity</t>
  </si>
  <si>
    <t>LS labor per light</t>
  </si>
  <si>
    <t>total per light</t>
  </si>
  <si>
    <t>labor per hour</t>
  </si>
  <si>
    <t>Hour per light</t>
  </si>
  <si>
    <t>Total cost per hours per light</t>
  </si>
  <si>
    <t>Led 8in Cans</t>
  </si>
  <si>
    <t>Led wall scones</t>
  </si>
  <si>
    <t>labor per light</t>
  </si>
  <si>
    <t>Led 2x4 Fixture</t>
  </si>
  <si>
    <t>Led 1x4 fixture</t>
  </si>
  <si>
    <t>Led wrap</t>
  </si>
  <si>
    <t>Led vaporite</t>
  </si>
  <si>
    <t>Led 2x2 fixture</t>
  </si>
  <si>
    <t>Led 4Ft strips</t>
  </si>
  <si>
    <t>Led 8ft strips</t>
  </si>
  <si>
    <t>Led Highbay</t>
  </si>
  <si>
    <t>Led 10In Can</t>
  </si>
  <si>
    <t>Led 2x4 wrap</t>
  </si>
  <si>
    <t>8ft Supended Fixture</t>
  </si>
  <si>
    <t>4ft susended Fixture</t>
  </si>
  <si>
    <t>fixures</t>
  </si>
  <si>
    <t>Led 1x4Ft strips</t>
  </si>
  <si>
    <t>LED highbays</t>
  </si>
  <si>
    <t>LED Vaporitite</t>
  </si>
  <si>
    <t>LED 4In cans</t>
  </si>
  <si>
    <t>LED 6in cans</t>
  </si>
  <si>
    <t>LED 8 in Cans</t>
  </si>
  <si>
    <t>LED 10in Cans</t>
  </si>
  <si>
    <t>LED 4Ft Strips</t>
  </si>
  <si>
    <t>LED Surface Wrap</t>
  </si>
  <si>
    <t>LED Wallpack</t>
  </si>
  <si>
    <t>Led 1x4 Fixture</t>
  </si>
  <si>
    <t>Led 10in Can</t>
  </si>
  <si>
    <t>Led Wall Scones</t>
  </si>
  <si>
    <t>Led Lay in 2x4</t>
  </si>
  <si>
    <t>Led Wrap</t>
  </si>
  <si>
    <t>Led Flush Mounts</t>
  </si>
  <si>
    <t>Led Ceiling Lights</t>
  </si>
  <si>
    <t>Led Wallpacks</t>
  </si>
  <si>
    <t>6in Cans</t>
  </si>
  <si>
    <t>exit lighting</t>
  </si>
  <si>
    <t>EM lighting</t>
  </si>
  <si>
    <t>Track lighting</t>
  </si>
  <si>
    <t>4 ft track lighting</t>
  </si>
  <si>
    <t>conduit end feed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</si>
</sst>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1" numFmtId="164" xfId="0" applyFont="1" applyNumberFormat="1"/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6.0"/>
    <col customWidth="1" min="3" max="3" width="16.13"/>
    <col customWidth="1" min="7" max="7" width="24.25"/>
  </cols>
  <sheetData>
    <row r="1">
      <c r="A1" s="1"/>
      <c r="B1" s="1"/>
      <c r="C1" s="2"/>
      <c r="D1" s="2"/>
      <c r="E1" s="3"/>
      <c r="F1" s="3"/>
      <c r="G1" s="3"/>
      <c r="H1" s="3" t="s">
        <v>0</v>
      </c>
    </row>
    <row r="2">
      <c r="A2" s="1" t="s">
        <v>1</v>
      </c>
      <c r="B2" s="1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  <c r="H2" s="3"/>
    </row>
    <row r="3">
      <c r="A3" s="1" t="s">
        <v>8</v>
      </c>
      <c r="B3" s="1">
        <v>84.0</v>
      </c>
      <c r="C3" s="1">
        <v>127.5</v>
      </c>
      <c r="D3" s="4">
        <f t="shared" ref="D3:D4" si="1">SUM(B3*C3)</f>
        <v>10710</v>
      </c>
      <c r="E3" s="5">
        <v>108.0</v>
      </c>
      <c r="F3" s="1">
        <v>1.0</v>
      </c>
      <c r="G3" s="4">
        <f t="shared" ref="G3:G4" si="2">sum(E3*F3)</f>
        <v>108</v>
      </c>
      <c r="H3" s="4">
        <f t="shared" ref="H3:H4" si="3">sum(B3*G3)</f>
        <v>9072</v>
      </c>
    </row>
    <row r="4">
      <c r="A4" s="1" t="s">
        <v>9</v>
      </c>
      <c r="B4" s="1">
        <v>2.0</v>
      </c>
      <c r="C4" s="1">
        <v>127.5</v>
      </c>
      <c r="D4" s="4">
        <f t="shared" si="1"/>
        <v>255</v>
      </c>
      <c r="E4" s="5">
        <v>108.0</v>
      </c>
      <c r="F4" s="1">
        <v>1.0</v>
      </c>
      <c r="G4" s="4">
        <f t="shared" si="2"/>
        <v>108</v>
      </c>
      <c r="H4" s="4">
        <f t="shared" si="3"/>
        <v>216</v>
      </c>
    </row>
    <row r="5">
      <c r="D5" s="4"/>
      <c r="E5" s="5"/>
    </row>
    <row r="6">
      <c r="D6" s="4"/>
      <c r="E6" s="5"/>
    </row>
    <row r="7">
      <c r="D7" s="4"/>
      <c r="E7" s="5"/>
    </row>
    <row r="8">
      <c r="D8" s="4"/>
      <c r="E8" s="5"/>
    </row>
    <row r="9">
      <c r="D9" s="4"/>
      <c r="E9" s="5"/>
    </row>
    <row r="10">
      <c r="D10" s="4"/>
      <c r="E10" s="5"/>
    </row>
    <row r="11">
      <c r="D11" s="4"/>
      <c r="E11" s="5"/>
    </row>
    <row r="12">
      <c r="D12" s="4"/>
      <c r="E12" s="5"/>
    </row>
    <row r="13">
      <c r="D13" s="4"/>
      <c r="E13" s="5"/>
    </row>
    <row r="14">
      <c r="B14" s="6">
        <f>SUM(B3:B13)</f>
        <v>86</v>
      </c>
      <c r="D14" s="4">
        <f>SUM(D3:D13)</f>
        <v>10965</v>
      </c>
      <c r="H14" s="4">
        <f>SUM(H3:H13)</f>
        <v>9288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6.0"/>
    <col customWidth="1" min="7" max="7" width="24.25"/>
  </cols>
  <sheetData>
    <row r="1">
      <c r="A1" s="1"/>
      <c r="B1" s="1"/>
      <c r="C1" s="2"/>
      <c r="D1" s="2"/>
      <c r="E1" s="3"/>
      <c r="F1" s="3"/>
      <c r="G1" s="3"/>
      <c r="H1" s="3" t="s">
        <v>0</v>
      </c>
    </row>
    <row r="2">
      <c r="A2" s="1" t="s">
        <v>1</v>
      </c>
      <c r="B2" s="1" t="s">
        <v>2</v>
      </c>
      <c r="C2" s="2" t="s">
        <v>10</v>
      </c>
      <c r="D2" s="2" t="s">
        <v>4</v>
      </c>
      <c r="E2" s="3" t="s">
        <v>5</v>
      </c>
      <c r="F2" s="3" t="s">
        <v>6</v>
      </c>
      <c r="G2" s="3" t="s">
        <v>7</v>
      </c>
      <c r="H2" s="3"/>
    </row>
    <row r="3">
      <c r="A3" s="1" t="s">
        <v>11</v>
      </c>
      <c r="B3" s="1">
        <v>16.0</v>
      </c>
      <c r="C3" s="1">
        <v>127.5</v>
      </c>
      <c r="D3" s="4">
        <f t="shared" ref="D3:D6" si="1">SUM(B3*C3)</f>
        <v>2040</v>
      </c>
      <c r="E3" s="5">
        <v>108.0</v>
      </c>
      <c r="F3" s="7">
        <v>1.0</v>
      </c>
      <c r="G3" s="4">
        <f t="shared" ref="G3:G6" si="2">sum(E3*F3)</f>
        <v>108</v>
      </c>
      <c r="H3" s="4">
        <f t="shared" ref="H3:H6" si="3">sum(B3*G3)</f>
        <v>1728</v>
      </c>
    </row>
    <row r="4">
      <c r="A4" s="1" t="s">
        <v>12</v>
      </c>
      <c r="B4" s="1">
        <v>2.0</v>
      </c>
      <c r="C4" s="1">
        <v>127.5</v>
      </c>
      <c r="D4" s="4">
        <f t="shared" si="1"/>
        <v>255</v>
      </c>
      <c r="E4" s="5">
        <v>108.0</v>
      </c>
      <c r="F4" s="1">
        <v>1.0</v>
      </c>
      <c r="G4" s="4">
        <f t="shared" si="2"/>
        <v>108</v>
      </c>
      <c r="H4" s="4">
        <f t="shared" si="3"/>
        <v>216</v>
      </c>
    </row>
    <row r="5">
      <c r="A5" s="1" t="s">
        <v>13</v>
      </c>
      <c r="B5" s="1">
        <v>130.0</v>
      </c>
      <c r="C5" s="1">
        <v>127.5</v>
      </c>
      <c r="D5" s="4">
        <f t="shared" si="1"/>
        <v>16575</v>
      </c>
      <c r="E5" s="5">
        <v>108.0</v>
      </c>
      <c r="F5" s="1">
        <v>1.0</v>
      </c>
      <c r="G5" s="4">
        <f t="shared" si="2"/>
        <v>108</v>
      </c>
      <c r="H5" s="4">
        <f t="shared" si="3"/>
        <v>14040</v>
      </c>
    </row>
    <row r="6">
      <c r="A6" s="1" t="s">
        <v>14</v>
      </c>
      <c r="B6" s="1">
        <v>91.0</v>
      </c>
      <c r="C6" s="1">
        <v>127.5</v>
      </c>
      <c r="D6" s="4">
        <f t="shared" si="1"/>
        <v>11602.5</v>
      </c>
      <c r="E6" s="5">
        <v>108.0</v>
      </c>
      <c r="F6" s="1">
        <v>1.0</v>
      </c>
      <c r="G6" s="4">
        <f t="shared" si="2"/>
        <v>108</v>
      </c>
      <c r="H6" s="4">
        <f t="shared" si="3"/>
        <v>9828</v>
      </c>
    </row>
    <row r="7">
      <c r="D7" s="4"/>
      <c r="E7" s="5"/>
    </row>
    <row r="8">
      <c r="D8" s="4"/>
      <c r="E8" s="5"/>
    </row>
    <row r="9">
      <c r="D9" s="4"/>
      <c r="E9" s="5"/>
    </row>
    <row r="10">
      <c r="D10" s="4"/>
      <c r="E10" s="5"/>
    </row>
    <row r="11">
      <c r="D11" s="4"/>
      <c r="E11" s="5"/>
    </row>
    <row r="12">
      <c r="D12" s="4"/>
      <c r="E12" s="5"/>
    </row>
    <row r="13">
      <c r="D13" s="4"/>
      <c r="E13" s="5"/>
    </row>
    <row r="14">
      <c r="B14" s="6">
        <f>SUM(B3:B13)</f>
        <v>239</v>
      </c>
      <c r="D14" s="4">
        <f>SUM(D3:D13)</f>
        <v>30472.5</v>
      </c>
      <c r="H14" s="4">
        <f>SUM(H3:H13)</f>
        <v>25812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6.0"/>
    <col customWidth="1" min="3" max="3" width="16.13"/>
    <col customWidth="1" min="7" max="7" width="24.25"/>
  </cols>
  <sheetData>
    <row r="1">
      <c r="A1" s="1"/>
      <c r="B1" s="1"/>
      <c r="C1" s="2"/>
      <c r="D1" s="2"/>
      <c r="E1" s="3"/>
      <c r="F1" s="3"/>
      <c r="G1" s="3"/>
      <c r="H1" s="3" t="s">
        <v>0</v>
      </c>
    </row>
    <row r="2">
      <c r="A2" s="1" t="s">
        <v>1</v>
      </c>
      <c r="B2" s="1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  <c r="H2" s="3"/>
    </row>
    <row r="3">
      <c r="A3" s="1" t="s">
        <v>11</v>
      </c>
      <c r="B3" s="1">
        <v>113.0</v>
      </c>
      <c r="C3" s="1">
        <v>127.5</v>
      </c>
      <c r="D3" s="4">
        <f t="shared" ref="D3:D6" si="1">SUM(B3*C3)</f>
        <v>14407.5</v>
      </c>
      <c r="E3" s="5">
        <v>108.0</v>
      </c>
      <c r="F3" s="1">
        <v>1.0</v>
      </c>
      <c r="G3" s="4">
        <f t="shared" ref="G3:G6" si="2">sum(E3*F3)</f>
        <v>108</v>
      </c>
      <c r="H3" s="4">
        <f t="shared" ref="H3:H6" si="3">sum(B3*G3)</f>
        <v>12204</v>
      </c>
    </row>
    <row r="4">
      <c r="A4" s="1" t="s">
        <v>15</v>
      </c>
      <c r="B4" s="1">
        <v>2.0</v>
      </c>
      <c r="C4" s="1">
        <v>127.5</v>
      </c>
      <c r="D4" s="4">
        <f t="shared" si="1"/>
        <v>255</v>
      </c>
      <c r="E4" s="5">
        <v>108.0</v>
      </c>
      <c r="F4" s="1">
        <v>1.0</v>
      </c>
      <c r="G4" s="4">
        <f t="shared" si="2"/>
        <v>108</v>
      </c>
      <c r="H4" s="4">
        <f t="shared" si="3"/>
        <v>216</v>
      </c>
    </row>
    <row r="5">
      <c r="A5" s="1" t="s">
        <v>16</v>
      </c>
      <c r="B5" s="1">
        <v>6.0</v>
      </c>
      <c r="C5" s="1">
        <v>127.5</v>
      </c>
      <c r="D5" s="4">
        <f t="shared" si="1"/>
        <v>765</v>
      </c>
      <c r="E5" s="5">
        <v>108.0</v>
      </c>
      <c r="F5" s="1">
        <v>1.0</v>
      </c>
      <c r="G5" s="4">
        <f t="shared" si="2"/>
        <v>108</v>
      </c>
      <c r="H5" s="4">
        <f t="shared" si="3"/>
        <v>648</v>
      </c>
    </row>
    <row r="6">
      <c r="A6" s="1" t="s">
        <v>17</v>
      </c>
      <c r="B6" s="1">
        <v>5.0</v>
      </c>
      <c r="C6" s="1">
        <v>127.5</v>
      </c>
      <c r="D6" s="4">
        <f t="shared" si="1"/>
        <v>637.5</v>
      </c>
      <c r="E6" s="5">
        <v>108.0</v>
      </c>
      <c r="F6" s="1">
        <v>1.1</v>
      </c>
      <c r="G6" s="4">
        <f t="shared" si="2"/>
        <v>118.8</v>
      </c>
      <c r="H6" s="4">
        <f t="shared" si="3"/>
        <v>594</v>
      </c>
    </row>
    <row r="7">
      <c r="D7" s="4"/>
      <c r="E7" s="5"/>
    </row>
    <row r="8">
      <c r="D8" s="4"/>
      <c r="E8" s="5"/>
    </row>
    <row r="9">
      <c r="D9" s="4"/>
      <c r="E9" s="5"/>
    </row>
    <row r="10">
      <c r="D10" s="4"/>
      <c r="E10" s="5"/>
    </row>
    <row r="11">
      <c r="D11" s="4"/>
      <c r="E11" s="5"/>
    </row>
    <row r="12">
      <c r="D12" s="5"/>
      <c r="E12" s="5"/>
    </row>
    <row r="13">
      <c r="D13" s="4"/>
      <c r="E13" s="5"/>
    </row>
    <row r="14">
      <c r="B14" s="6">
        <f>SUM(B3:B13)</f>
        <v>126</v>
      </c>
      <c r="D14" s="4">
        <f>SUM(D3:D13)</f>
        <v>16065</v>
      </c>
      <c r="H14" s="4">
        <f>SUM(H3:H13)</f>
        <v>13662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6.0"/>
    <col customWidth="1" min="3" max="3" width="16.13"/>
    <col customWidth="1" min="7" max="7" width="24.25"/>
  </cols>
  <sheetData>
    <row r="1">
      <c r="A1" s="1"/>
      <c r="B1" s="1"/>
      <c r="C1" s="2"/>
      <c r="D1" s="2"/>
      <c r="E1" s="3"/>
      <c r="F1" s="3"/>
      <c r="G1" s="3"/>
      <c r="H1" s="3" t="s">
        <v>0</v>
      </c>
    </row>
    <row r="2">
      <c r="A2" s="1" t="s">
        <v>1</v>
      </c>
      <c r="B2" s="1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  <c r="H2" s="3"/>
    </row>
    <row r="3">
      <c r="A3" s="1" t="s">
        <v>11</v>
      </c>
      <c r="B3" s="1">
        <v>20.0</v>
      </c>
      <c r="C3" s="1">
        <v>127.5</v>
      </c>
      <c r="D3" s="4">
        <f t="shared" ref="D3:D5" si="1">SUM(B3*C3)</f>
        <v>2550</v>
      </c>
      <c r="E3" s="5">
        <v>108.0</v>
      </c>
      <c r="F3" s="1">
        <v>1.0</v>
      </c>
      <c r="G3" s="4">
        <f t="shared" ref="G3:G5" si="2">sum(E3*F3)</f>
        <v>108</v>
      </c>
      <c r="H3" s="4">
        <f t="shared" ref="H3:H5" si="3">sum(B3*G3)</f>
        <v>2160</v>
      </c>
    </row>
    <row r="4">
      <c r="A4" s="1" t="s">
        <v>12</v>
      </c>
      <c r="B4" s="1">
        <v>3.0</v>
      </c>
      <c r="C4" s="1">
        <v>127.5</v>
      </c>
      <c r="D4" s="4">
        <f t="shared" si="1"/>
        <v>382.5</v>
      </c>
      <c r="E4" s="5">
        <v>108.0</v>
      </c>
      <c r="F4" s="1">
        <v>1.0</v>
      </c>
      <c r="G4" s="4">
        <f t="shared" si="2"/>
        <v>108</v>
      </c>
      <c r="H4" s="4">
        <f t="shared" si="3"/>
        <v>324</v>
      </c>
    </row>
    <row r="5">
      <c r="A5" s="1" t="s">
        <v>18</v>
      </c>
      <c r="B5" s="1">
        <v>24.0</v>
      </c>
      <c r="C5" s="1">
        <v>165.0</v>
      </c>
      <c r="D5" s="4">
        <f t="shared" si="1"/>
        <v>3960</v>
      </c>
      <c r="E5" s="5">
        <v>108.0</v>
      </c>
      <c r="F5" s="1">
        <v>1.0</v>
      </c>
      <c r="G5" s="4">
        <f t="shared" si="2"/>
        <v>108</v>
      </c>
      <c r="H5" s="4">
        <f t="shared" si="3"/>
        <v>2592</v>
      </c>
    </row>
    <row r="6">
      <c r="D6" s="4"/>
      <c r="E6" s="5"/>
    </row>
    <row r="7">
      <c r="D7" s="4"/>
      <c r="E7" s="5"/>
    </row>
    <row r="8">
      <c r="D8" s="4"/>
      <c r="E8" s="5"/>
    </row>
    <row r="9">
      <c r="D9" s="4"/>
      <c r="E9" s="5"/>
    </row>
    <row r="10">
      <c r="D10" s="4"/>
      <c r="E10" s="5"/>
    </row>
    <row r="11">
      <c r="D11" s="4"/>
      <c r="E11" s="5"/>
    </row>
    <row r="12">
      <c r="D12" s="4"/>
      <c r="E12" s="5"/>
    </row>
    <row r="13">
      <c r="D13" s="4"/>
      <c r="E13" s="5"/>
    </row>
    <row r="14">
      <c r="B14" s="6">
        <f>SUM(B3:B13)</f>
        <v>47</v>
      </c>
      <c r="D14" s="4">
        <f>SUM(D3:D13)</f>
        <v>6892.5</v>
      </c>
      <c r="H14" s="4">
        <f>SUM(H3:H13)</f>
        <v>5076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6.0"/>
    <col customWidth="1" min="3" max="3" width="16.13"/>
    <col customWidth="1" min="7" max="7" width="24.25"/>
  </cols>
  <sheetData>
    <row r="1">
      <c r="A1" s="1"/>
      <c r="B1" s="1"/>
      <c r="C1" s="2"/>
      <c r="D1" s="2"/>
      <c r="E1" s="3"/>
      <c r="F1" s="3"/>
      <c r="G1" s="3"/>
      <c r="H1" s="3" t="s">
        <v>0</v>
      </c>
    </row>
    <row r="2">
      <c r="A2" s="1" t="s">
        <v>1</v>
      </c>
      <c r="B2" s="1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  <c r="H2" s="3"/>
    </row>
    <row r="3">
      <c r="A3" s="1" t="s">
        <v>11</v>
      </c>
      <c r="B3" s="1">
        <v>115.0</v>
      </c>
      <c r="C3" s="1">
        <v>127.5</v>
      </c>
      <c r="D3" s="4">
        <f t="shared" ref="D3:D8" si="1">SUM(B3*C3)</f>
        <v>14662.5</v>
      </c>
      <c r="E3" s="5">
        <v>108.0</v>
      </c>
      <c r="F3" s="1">
        <v>1.0</v>
      </c>
      <c r="G3" s="4">
        <f t="shared" ref="G3:G8" si="2">sum(E3*F3)</f>
        <v>108</v>
      </c>
      <c r="H3" s="4">
        <f t="shared" ref="H3:H8" si="3">sum(B3*G3)</f>
        <v>12420</v>
      </c>
    </row>
    <row r="4">
      <c r="A4" s="1" t="s">
        <v>15</v>
      </c>
      <c r="B4" s="1">
        <v>75.0</v>
      </c>
      <c r="C4" s="1">
        <v>127.5</v>
      </c>
      <c r="D4" s="4">
        <f t="shared" si="1"/>
        <v>9562.5</v>
      </c>
      <c r="E4" s="5">
        <v>108.0</v>
      </c>
      <c r="F4" s="1">
        <v>1.0</v>
      </c>
      <c r="G4" s="4">
        <f t="shared" si="2"/>
        <v>108</v>
      </c>
      <c r="H4" s="4">
        <f t="shared" si="3"/>
        <v>8100</v>
      </c>
    </row>
    <row r="5">
      <c r="A5" s="1" t="s">
        <v>19</v>
      </c>
      <c r="B5" s="1">
        <v>91.0</v>
      </c>
      <c r="C5" s="1">
        <v>127.5</v>
      </c>
      <c r="D5" s="4">
        <f t="shared" si="1"/>
        <v>11602.5</v>
      </c>
      <c r="E5" s="5">
        <v>108.0</v>
      </c>
      <c r="F5" s="1">
        <v>1.0</v>
      </c>
      <c r="G5" s="4">
        <f t="shared" si="2"/>
        <v>108</v>
      </c>
      <c r="H5" s="4">
        <f t="shared" si="3"/>
        <v>9828</v>
      </c>
    </row>
    <row r="6">
      <c r="A6" s="1" t="s">
        <v>20</v>
      </c>
      <c r="B6" s="1">
        <v>1.0</v>
      </c>
      <c r="C6" s="1">
        <v>127.5</v>
      </c>
      <c r="D6" s="4">
        <f t="shared" si="1"/>
        <v>127.5</v>
      </c>
      <c r="E6" s="5">
        <v>108.0</v>
      </c>
      <c r="F6" s="1">
        <v>1.0</v>
      </c>
      <c r="G6" s="4">
        <f t="shared" si="2"/>
        <v>108</v>
      </c>
      <c r="H6" s="4">
        <f t="shared" si="3"/>
        <v>108</v>
      </c>
    </row>
    <row r="7">
      <c r="A7" s="1" t="s">
        <v>21</v>
      </c>
      <c r="B7" s="1">
        <v>122.0</v>
      </c>
      <c r="C7" s="1">
        <v>165.0</v>
      </c>
      <c r="D7" s="4">
        <f t="shared" si="1"/>
        <v>20130</v>
      </c>
      <c r="E7" s="5">
        <v>108.0</v>
      </c>
      <c r="F7" s="1">
        <v>1.0</v>
      </c>
      <c r="G7" s="4">
        <f t="shared" si="2"/>
        <v>108</v>
      </c>
      <c r="H7" s="4">
        <f t="shared" si="3"/>
        <v>13176</v>
      </c>
    </row>
    <row r="8">
      <c r="A8" s="1" t="s">
        <v>22</v>
      </c>
      <c r="B8" s="1">
        <v>20.0</v>
      </c>
      <c r="C8" s="1">
        <v>165.0</v>
      </c>
      <c r="D8" s="4">
        <f t="shared" si="1"/>
        <v>3300</v>
      </c>
      <c r="E8" s="5">
        <v>108.0</v>
      </c>
      <c r="F8" s="1">
        <v>1.0</v>
      </c>
      <c r="G8" s="4">
        <f t="shared" si="2"/>
        <v>108</v>
      </c>
      <c r="H8" s="4">
        <f t="shared" si="3"/>
        <v>2160</v>
      </c>
    </row>
    <row r="9">
      <c r="D9" s="4"/>
      <c r="E9" s="5"/>
    </row>
    <row r="10">
      <c r="D10" s="4"/>
      <c r="E10" s="5"/>
    </row>
    <row r="11">
      <c r="D11" s="4"/>
      <c r="E11" s="5"/>
    </row>
    <row r="12">
      <c r="D12" s="4"/>
      <c r="E12" s="5"/>
    </row>
    <row r="13">
      <c r="D13" s="4"/>
      <c r="E13" s="5"/>
    </row>
    <row r="14">
      <c r="B14" s="6">
        <f>SUM(B3:B13)</f>
        <v>424</v>
      </c>
      <c r="D14" s="4">
        <f>SUM(D3:D13)</f>
        <v>59385</v>
      </c>
      <c r="H14" s="4">
        <f>SUM(H3:H13)</f>
        <v>45792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2" width="16.0"/>
    <col customWidth="1" min="4" max="4" width="16.13"/>
    <col customWidth="1" min="8" max="8" width="24.25"/>
  </cols>
  <sheetData>
    <row r="1">
      <c r="A1" s="1"/>
      <c r="B1" s="1"/>
      <c r="C1" s="1"/>
      <c r="D1" s="2"/>
      <c r="E1" s="2"/>
      <c r="F1" s="3"/>
      <c r="G1" s="3"/>
      <c r="H1" s="3"/>
      <c r="I1" s="3" t="s">
        <v>0</v>
      </c>
    </row>
    <row r="2">
      <c r="A2" s="1" t="s">
        <v>23</v>
      </c>
      <c r="B2" s="1" t="s">
        <v>1</v>
      </c>
      <c r="C2" s="1" t="s">
        <v>2</v>
      </c>
      <c r="D2" s="2" t="s">
        <v>3</v>
      </c>
      <c r="E2" s="2" t="s">
        <v>4</v>
      </c>
      <c r="F2" s="3" t="s">
        <v>5</v>
      </c>
      <c r="G2" s="3" t="s">
        <v>6</v>
      </c>
      <c r="H2" s="3" t="s">
        <v>7</v>
      </c>
      <c r="I2" s="3"/>
    </row>
    <row r="3">
      <c r="A3" s="1"/>
      <c r="B3" s="1" t="s">
        <v>11</v>
      </c>
      <c r="C3" s="1">
        <v>1910.0</v>
      </c>
      <c r="D3" s="1">
        <v>125.0</v>
      </c>
      <c r="E3" s="4">
        <f t="shared" ref="E3:E15" si="1">SUM(C3*D3)</f>
        <v>238750</v>
      </c>
      <c r="F3" s="5">
        <v>108.0</v>
      </c>
      <c r="G3" s="1">
        <v>1.0</v>
      </c>
      <c r="H3" s="4">
        <f t="shared" ref="H3:H15" si="2">sum(F3*G3)</f>
        <v>108</v>
      </c>
      <c r="I3" s="4">
        <f t="shared" ref="I3:I15" si="3">sum(C3*H3)</f>
        <v>206280</v>
      </c>
    </row>
    <row r="4">
      <c r="A4" s="1"/>
      <c r="B4" s="1" t="s">
        <v>15</v>
      </c>
      <c r="C4" s="1">
        <v>71.0</v>
      </c>
      <c r="D4" s="1">
        <v>125.0</v>
      </c>
      <c r="E4" s="4">
        <f t="shared" si="1"/>
        <v>8875</v>
      </c>
      <c r="F4" s="5">
        <v>108.0</v>
      </c>
      <c r="G4" s="1">
        <v>1.0</v>
      </c>
      <c r="H4" s="4">
        <f t="shared" si="2"/>
        <v>108</v>
      </c>
      <c r="I4" s="4">
        <f t="shared" si="3"/>
        <v>7668</v>
      </c>
    </row>
    <row r="5">
      <c r="A5" s="1"/>
      <c r="B5" s="1" t="s">
        <v>24</v>
      </c>
      <c r="C5" s="1">
        <v>324.0</v>
      </c>
      <c r="D5" s="1">
        <v>127.5</v>
      </c>
      <c r="E5" s="4">
        <f t="shared" si="1"/>
        <v>41310</v>
      </c>
      <c r="F5" s="5">
        <v>108.0</v>
      </c>
      <c r="G5" s="1">
        <v>1.0</v>
      </c>
      <c r="H5" s="4">
        <f t="shared" si="2"/>
        <v>108</v>
      </c>
      <c r="I5" s="4">
        <f t="shared" si="3"/>
        <v>34992</v>
      </c>
    </row>
    <row r="6">
      <c r="A6" s="1"/>
      <c r="B6" s="1" t="s">
        <v>13</v>
      </c>
      <c r="C6" s="1">
        <v>602.0</v>
      </c>
      <c r="D6" s="1">
        <v>127.5</v>
      </c>
      <c r="E6" s="4">
        <f t="shared" si="1"/>
        <v>76755</v>
      </c>
      <c r="F6" s="5">
        <v>108.0</v>
      </c>
      <c r="G6" s="1">
        <v>1.0</v>
      </c>
      <c r="H6" s="4">
        <f t="shared" si="2"/>
        <v>108</v>
      </c>
      <c r="I6" s="4">
        <f t="shared" si="3"/>
        <v>65016</v>
      </c>
    </row>
    <row r="7">
      <c r="B7" s="1" t="s">
        <v>25</v>
      </c>
      <c r="C7" s="1">
        <v>51.0</v>
      </c>
      <c r="D7" s="1">
        <v>165.0</v>
      </c>
      <c r="E7" s="4">
        <f t="shared" si="1"/>
        <v>8415</v>
      </c>
      <c r="F7" s="5">
        <v>108.0</v>
      </c>
      <c r="G7" s="1">
        <v>1.0</v>
      </c>
      <c r="H7" s="4">
        <f t="shared" si="2"/>
        <v>108</v>
      </c>
      <c r="I7" s="4">
        <f t="shared" si="3"/>
        <v>5508</v>
      </c>
    </row>
    <row r="8">
      <c r="B8" s="1" t="s">
        <v>26</v>
      </c>
      <c r="C8" s="1">
        <v>167.0</v>
      </c>
      <c r="D8" s="1">
        <v>135.0</v>
      </c>
      <c r="E8" s="4">
        <f t="shared" si="1"/>
        <v>22545</v>
      </c>
      <c r="F8" s="5">
        <v>108.0</v>
      </c>
      <c r="G8" s="1">
        <v>1.0</v>
      </c>
      <c r="H8" s="4">
        <f t="shared" si="2"/>
        <v>108</v>
      </c>
      <c r="I8" s="4">
        <f t="shared" si="3"/>
        <v>18036</v>
      </c>
    </row>
    <row r="9">
      <c r="B9" s="1" t="s">
        <v>27</v>
      </c>
      <c r="C9" s="1">
        <v>9.0</v>
      </c>
      <c r="D9" s="1">
        <v>127.5</v>
      </c>
      <c r="E9" s="4">
        <f t="shared" si="1"/>
        <v>1147.5</v>
      </c>
      <c r="F9" s="5">
        <v>108.0</v>
      </c>
      <c r="G9" s="1">
        <v>1.0</v>
      </c>
      <c r="H9" s="4">
        <f t="shared" si="2"/>
        <v>108</v>
      </c>
      <c r="I9" s="4">
        <f t="shared" si="3"/>
        <v>972</v>
      </c>
    </row>
    <row r="10">
      <c r="B10" s="1" t="s">
        <v>28</v>
      </c>
      <c r="C10" s="1">
        <v>188.0</v>
      </c>
      <c r="D10" s="1">
        <v>127.5</v>
      </c>
      <c r="E10" s="4">
        <f t="shared" si="1"/>
        <v>23970</v>
      </c>
      <c r="F10" s="5">
        <v>108.0</v>
      </c>
      <c r="G10" s="1">
        <v>1.0</v>
      </c>
      <c r="H10" s="4">
        <f t="shared" si="2"/>
        <v>108</v>
      </c>
      <c r="I10" s="4">
        <f t="shared" si="3"/>
        <v>20304</v>
      </c>
    </row>
    <row r="11">
      <c r="B11" s="1" t="s">
        <v>29</v>
      </c>
      <c r="C11" s="1">
        <v>87.0</v>
      </c>
      <c r="D11" s="1">
        <v>127.5</v>
      </c>
      <c r="E11" s="4">
        <f t="shared" si="1"/>
        <v>11092.5</v>
      </c>
      <c r="F11" s="5">
        <v>108.0</v>
      </c>
      <c r="G11" s="1">
        <v>1.0</v>
      </c>
      <c r="H11" s="4">
        <f t="shared" si="2"/>
        <v>108</v>
      </c>
      <c r="I11" s="4">
        <f t="shared" si="3"/>
        <v>9396</v>
      </c>
    </row>
    <row r="12">
      <c r="B12" s="1" t="s">
        <v>30</v>
      </c>
      <c r="C12" s="1">
        <v>10.0</v>
      </c>
      <c r="D12" s="1">
        <v>127.5</v>
      </c>
      <c r="E12" s="4">
        <f t="shared" si="1"/>
        <v>1275</v>
      </c>
      <c r="F12" s="5">
        <v>108.0</v>
      </c>
      <c r="G12" s="1">
        <v>1.0</v>
      </c>
      <c r="H12" s="4">
        <f t="shared" si="2"/>
        <v>108</v>
      </c>
      <c r="I12" s="4">
        <f t="shared" si="3"/>
        <v>1080</v>
      </c>
    </row>
    <row r="13">
      <c r="B13" s="1" t="s">
        <v>31</v>
      </c>
      <c r="C13" s="1">
        <v>168.0</v>
      </c>
      <c r="D13" s="1">
        <v>127.5</v>
      </c>
      <c r="E13" s="4">
        <f t="shared" si="1"/>
        <v>21420</v>
      </c>
      <c r="F13" s="5">
        <v>108.0</v>
      </c>
      <c r="G13" s="1">
        <v>1.0</v>
      </c>
      <c r="H13" s="4">
        <f t="shared" si="2"/>
        <v>108</v>
      </c>
      <c r="I13" s="4">
        <f t="shared" si="3"/>
        <v>18144</v>
      </c>
    </row>
    <row r="14">
      <c r="B14" s="1" t="s">
        <v>32</v>
      </c>
      <c r="C14" s="1">
        <v>36.0</v>
      </c>
      <c r="D14" s="1">
        <v>127.5</v>
      </c>
      <c r="E14" s="4">
        <f t="shared" si="1"/>
        <v>4590</v>
      </c>
      <c r="F14" s="5">
        <v>108.0</v>
      </c>
      <c r="G14" s="1">
        <v>1.0</v>
      </c>
      <c r="H14" s="4">
        <f t="shared" si="2"/>
        <v>108</v>
      </c>
      <c r="I14" s="4">
        <f t="shared" si="3"/>
        <v>3888</v>
      </c>
    </row>
    <row r="15">
      <c r="B15" s="1" t="s">
        <v>33</v>
      </c>
      <c r="C15" s="1">
        <v>50.0</v>
      </c>
      <c r="D15" s="1">
        <v>165.0</v>
      </c>
      <c r="E15" s="4">
        <f t="shared" si="1"/>
        <v>8250</v>
      </c>
      <c r="F15" s="5">
        <v>108.0</v>
      </c>
      <c r="G15" s="1">
        <v>1.0</v>
      </c>
      <c r="H15" s="4">
        <f t="shared" si="2"/>
        <v>108</v>
      </c>
      <c r="I15" s="4">
        <f t="shared" si="3"/>
        <v>5400</v>
      </c>
    </row>
    <row r="16">
      <c r="B16" s="1"/>
      <c r="E16" s="4"/>
      <c r="F16" s="5"/>
    </row>
    <row r="17">
      <c r="C17" s="6">
        <f>SUM(C3:C13)</f>
        <v>3587</v>
      </c>
      <c r="E17" s="4">
        <f>SUM(E3:E13)</f>
        <v>455555</v>
      </c>
      <c r="I17" s="4">
        <f>SUM(I3:I13)</f>
        <v>387396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6.0"/>
    <col customWidth="1" min="3" max="3" width="16.13"/>
    <col customWidth="1" min="7" max="7" width="24.25"/>
  </cols>
  <sheetData>
    <row r="1">
      <c r="A1" s="1"/>
      <c r="B1" s="1"/>
      <c r="C1" s="2"/>
      <c r="D1" s="2"/>
      <c r="E1" s="3"/>
      <c r="F1" s="3"/>
      <c r="G1" s="3"/>
      <c r="H1" s="3" t="s">
        <v>0</v>
      </c>
    </row>
    <row r="2">
      <c r="A2" s="1" t="s">
        <v>1</v>
      </c>
      <c r="B2" s="1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  <c r="H2" s="3"/>
    </row>
    <row r="3">
      <c r="A3" s="1" t="s">
        <v>11</v>
      </c>
      <c r="B3" s="1">
        <v>124.0</v>
      </c>
      <c r="C3" s="1">
        <v>127.5</v>
      </c>
      <c r="D3" s="4">
        <f t="shared" ref="D3:D7" si="1">SUM(B3*C3)</f>
        <v>15810</v>
      </c>
      <c r="E3" s="5">
        <v>108.0</v>
      </c>
      <c r="F3" s="1">
        <v>1.0</v>
      </c>
      <c r="G3" s="4">
        <f t="shared" ref="G3:G7" si="2">sum(E3*F3)</f>
        <v>108</v>
      </c>
      <c r="H3" s="4">
        <f t="shared" ref="H3:H7" si="3">sum(B3*G3)</f>
        <v>13392</v>
      </c>
    </row>
    <row r="4">
      <c r="A4" s="1" t="s">
        <v>15</v>
      </c>
      <c r="B4" s="1">
        <v>5.0</v>
      </c>
      <c r="C4" s="1">
        <v>127.5</v>
      </c>
      <c r="D4" s="4">
        <f t="shared" si="1"/>
        <v>637.5</v>
      </c>
      <c r="E4" s="5">
        <v>108.0</v>
      </c>
      <c r="F4" s="1">
        <v>1.0</v>
      </c>
      <c r="G4" s="4">
        <f t="shared" si="2"/>
        <v>108</v>
      </c>
      <c r="H4" s="4">
        <f t="shared" si="3"/>
        <v>540</v>
      </c>
    </row>
    <row r="5">
      <c r="A5" s="1" t="s">
        <v>34</v>
      </c>
      <c r="B5" s="1">
        <v>4.0</v>
      </c>
      <c r="C5" s="1">
        <v>127.5</v>
      </c>
      <c r="D5" s="4">
        <f t="shared" si="1"/>
        <v>510</v>
      </c>
      <c r="E5" s="5">
        <v>108.0</v>
      </c>
      <c r="F5" s="1">
        <v>1.0</v>
      </c>
      <c r="G5" s="4">
        <f t="shared" si="2"/>
        <v>108</v>
      </c>
      <c r="H5" s="4">
        <f t="shared" si="3"/>
        <v>432</v>
      </c>
    </row>
    <row r="6">
      <c r="A6" s="1" t="s">
        <v>35</v>
      </c>
      <c r="B6" s="1">
        <v>11.0</v>
      </c>
      <c r="C6" s="1">
        <v>127.5</v>
      </c>
      <c r="D6" s="4">
        <f t="shared" si="1"/>
        <v>1402.5</v>
      </c>
      <c r="E6" s="5">
        <v>108.0</v>
      </c>
      <c r="F6" s="1">
        <v>1.0</v>
      </c>
      <c r="G6" s="4">
        <f t="shared" si="2"/>
        <v>108</v>
      </c>
      <c r="H6" s="4">
        <f t="shared" si="3"/>
        <v>1188</v>
      </c>
    </row>
    <row r="7">
      <c r="A7" s="1" t="s">
        <v>36</v>
      </c>
      <c r="B7" s="1">
        <v>2.0</v>
      </c>
      <c r="C7" s="1">
        <v>127.5</v>
      </c>
      <c r="D7" s="4">
        <f t="shared" si="1"/>
        <v>255</v>
      </c>
      <c r="E7" s="5">
        <v>108.0</v>
      </c>
      <c r="F7" s="1">
        <v>1.0</v>
      </c>
      <c r="G7" s="4">
        <f t="shared" si="2"/>
        <v>108</v>
      </c>
      <c r="H7" s="4">
        <f t="shared" si="3"/>
        <v>216</v>
      </c>
    </row>
    <row r="8">
      <c r="D8" s="4"/>
      <c r="E8" s="5"/>
    </row>
    <row r="9">
      <c r="D9" s="4"/>
      <c r="E9" s="5"/>
    </row>
    <row r="10">
      <c r="D10" s="4"/>
      <c r="E10" s="5"/>
    </row>
    <row r="11">
      <c r="D11" s="4"/>
      <c r="E11" s="5"/>
    </row>
    <row r="12">
      <c r="D12" s="4"/>
      <c r="E12" s="5"/>
    </row>
    <row r="13">
      <c r="D13" s="4"/>
      <c r="E13" s="5"/>
    </row>
    <row r="14">
      <c r="B14" s="6">
        <f>SUM(B3:B13)</f>
        <v>146</v>
      </c>
      <c r="D14" s="4">
        <f>SUM(D3:D13)</f>
        <v>18615</v>
      </c>
      <c r="H14" s="4">
        <f>SUM(H3:H13)</f>
        <v>15768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6.0"/>
    <col customWidth="1" min="7" max="7" width="24.25"/>
  </cols>
  <sheetData>
    <row r="1">
      <c r="A1" s="1"/>
      <c r="B1" s="1"/>
      <c r="C1" s="2"/>
      <c r="D1" s="2"/>
      <c r="E1" s="3"/>
      <c r="F1" s="3"/>
      <c r="G1" s="3"/>
      <c r="H1" s="3" t="s">
        <v>0</v>
      </c>
    </row>
    <row r="2">
      <c r="A2" s="1" t="s">
        <v>1</v>
      </c>
      <c r="B2" s="1" t="s">
        <v>2</v>
      </c>
      <c r="C2" s="2" t="s">
        <v>10</v>
      </c>
      <c r="D2" s="2" t="s">
        <v>4</v>
      </c>
      <c r="E2" s="3" t="s">
        <v>5</v>
      </c>
      <c r="F2" s="3" t="s">
        <v>6</v>
      </c>
      <c r="G2" s="3" t="s">
        <v>7</v>
      </c>
      <c r="H2" s="3"/>
    </row>
    <row r="3">
      <c r="A3" s="1" t="s">
        <v>37</v>
      </c>
      <c r="B3" s="1">
        <v>152.0</v>
      </c>
      <c r="C3" s="1">
        <v>215.0</v>
      </c>
      <c r="D3" s="4">
        <f t="shared" ref="D3:D13" si="1">SUM(B3*C3)</f>
        <v>32680</v>
      </c>
      <c r="E3" s="5">
        <v>108.0</v>
      </c>
      <c r="F3" s="1">
        <v>1.0</v>
      </c>
      <c r="G3" s="4">
        <f t="shared" ref="G3:G13" si="2">sum(E3*F3)</f>
        <v>108</v>
      </c>
      <c r="H3" s="4">
        <f t="shared" ref="H3:H13" si="3">sum(B3*G3)</f>
        <v>16416</v>
      </c>
    </row>
    <row r="4">
      <c r="A4" s="1" t="s">
        <v>38</v>
      </c>
      <c r="B4" s="1">
        <v>46.0</v>
      </c>
      <c r="C4" s="1">
        <v>220.0</v>
      </c>
      <c r="D4" s="4">
        <f t="shared" si="1"/>
        <v>10120</v>
      </c>
      <c r="E4" s="5">
        <v>108.0</v>
      </c>
      <c r="F4" s="1">
        <v>1.0</v>
      </c>
      <c r="G4" s="4">
        <f t="shared" si="2"/>
        <v>108</v>
      </c>
      <c r="H4" s="4">
        <f t="shared" si="3"/>
        <v>4968</v>
      </c>
    </row>
    <row r="5">
      <c r="A5" s="1" t="s">
        <v>39</v>
      </c>
      <c r="B5" s="1">
        <v>2.0</v>
      </c>
      <c r="C5" s="1">
        <v>225.0</v>
      </c>
      <c r="D5" s="4">
        <f t="shared" si="1"/>
        <v>450</v>
      </c>
      <c r="E5" s="5">
        <v>108.0</v>
      </c>
      <c r="F5" s="1">
        <v>1.0</v>
      </c>
      <c r="G5" s="4">
        <f t="shared" si="2"/>
        <v>108</v>
      </c>
      <c r="H5" s="4">
        <f t="shared" si="3"/>
        <v>216</v>
      </c>
    </row>
    <row r="6">
      <c r="A6" s="1" t="s">
        <v>40</v>
      </c>
      <c r="B6" s="1">
        <v>12.0</v>
      </c>
      <c r="C6" s="1">
        <v>200.0</v>
      </c>
      <c r="D6" s="4">
        <f t="shared" si="1"/>
        <v>2400</v>
      </c>
      <c r="E6" s="5">
        <v>108.0</v>
      </c>
      <c r="F6" s="1">
        <v>1.0</v>
      </c>
      <c r="G6" s="4">
        <f t="shared" si="2"/>
        <v>108</v>
      </c>
      <c r="H6" s="4">
        <f t="shared" si="3"/>
        <v>1296</v>
      </c>
    </row>
    <row r="7">
      <c r="A7" s="1" t="s">
        <v>41</v>
      </c>
      <c r="B7" s="1">
        <v>18.0</v>
      </c>
      <c r="C7" s="1">
        <v>325.0</v>
      </c>
      <c r="D7" s="4">
        <f t="shared" si="1"/>
        <v>5850</v>
      </c>
      <c r="E7" s="5">
        <v>108.0</v>
      </c>
      <c r="F7" s="1">
        <v>1.0</v>
      </c>
      <c r="G7" s="4">
        <f t="shared" si="2"/>
        <v>108</v>
      </c>
      <c r="H7" s="4">
        <f t="shared" si="3"/>
        <v>1944</v>
      </c>
    </row>
    <row r="8">
      <c r="A8" s="1" t="s">
        <v>42</v>
      </c>
      <c r="B8" s="1">
        <v>6.0</v>
      </c>
      <c r="C8" s="1">
        <v>225.0</v>
      </c>
      <c r="D8" s="4">
        <f t="shared" si="1"/>
        <v>1350</v>
      </c>
      <c r="E8" s="5">
        <v>108.0</v>
      </c>
      <c r="F8" s="1">
        <v>1.0</v>
      </c>
      <c r="G8" s="4">
        <f t="shared" si="2"/>
        <v>108</v>
      </c>
      <c r="H8" s="4">
        <f t="shared" si="3"/>
        <v>648</v>
      </c>
    </row>
    <row r="9">
      <c r="A9" s="1" t="s">
        <v>43</v>
      </c>
      <c r="B9" s="1">
        <v>40.0</v>
      </c>
      <c r="C9" s="1">
        <v>250.0</v>
      </c>
      <c r="D9" s="4">
        <f t="shared" si="1"/>
        <v>10000</v>
      </c>
      <c r="E9" s="5">
        <v>108.0</v>
      </c>
      <c r="F9" s="1">
        <v>1.0</v>
      </c>
      <c r="G9" s="4">
        <f t="shared" si="2"/>
        <v>108</v>
      </c>
      <c r="H9" s="4">
        <f t="shared" si="3"/>
        <v>4320</v>
      </c>
    </row>
    <row r="10">
      <c r="A10" s="1" t="s">
        <v>44</v>
      </c>
      <c r="B10" s="1">
        <v>28.0</v>
      </c>
      <c r="C10" s="1">
        <v>250.0</v>
      </c>
      <c r="D10" s="4">
        <f t="shared" si="1"/>
        <v>7000</v>
      </c>
      <c r="E10" s="5">
        <v>108.0</v>
      </c>
      <c r="F10" s="1">
        <v>1.0</v>
      </c>
      <c r="G10" s="4">
        <f t="shared" si="2"/>
        <v>108</v>
      </c>
      <c r="H10" s="4">
        <f t="shared" si="3"/>
        <v>3024</v>
      </c>
    </row>
    <row r="11">
      <c r="A11" s="1" t="s">
        <v>45</v>
      </c>
      <c r="B11" s="1">
        <v>16.0</v>
      </c>
      <c r="C11" s="1">
        <v>350.0</v>
      </c>
      <c r="D11" s="4">
        <f t="shared" si="1"/>
        <v>5600</v>
      </c>
      <c r="E11" s="5">
        <v>108.0</v>
      </c>
      <c r="F11" s="1">
        <v>1.0</v>
      </c>
      <c r="G11" s="4">
        <f t="shared" si="2"/>
        <v>108</v>
      </c>
      <c r="H11" s="4">
        <f t="shared" si="3"/>
        <v>1728</v>
      </c>
    </row>
    <row r="12">
      <c r="A12" s="1" t="s">
        <v>46</v>
      </c>
      <c r="B12" s="1">
        <v>4.0</v>
      </c>
      <c r="C12" s="1">
        <v>350.0</v>
      </c>
      <c r="D12" s="4">
        <f t="shared" si="1"/>
        <v>1400</v>
      </c>
      <c r="E12" s="5">
        <v>108.0</v>
      </c>
      <c r="F12" s="1">
        <v>1.0</v>
      </c>
      <c r="G12" s="4">
        <f t="shared" si="2"/>
        <v>108</v>
      </c>
      <c r="H12" s="4">
        <f t="shared" si="3"/>
        <v>432</v>
      </c>
    </row>
    <row r="13">
      <c r="A13" s="1" t="s">
        <v>47</v>
      </c>
      <c r="B13" s="1">
        <v>4.0</v>
      </c>
      <c r="C13" s="1">
        <v>350.0</v>
      </c>
      <c r="D13" s="4">
        <f t="shared" si="1"/>
        <v>1400</v>
      </c>
      <c r="E13" s="5">
        <v>108.0</v>
      </c>
      <c r="F13" s="1">
        <v>1.0</v>
      </c>
      <c r="G13" s="4">
        <f t="shared" si="2"/>
        <v>108</v>
      </c>
      <c r="H13" s="4">
        <f t="shared" si="3"/>
        <v>432</v>
      </c>
    </row>
    <row r="14">
      <c r="B14" s="6">
        <f>SUM(B3:B13)</f>
        <v>328</v>
      </c>
      <c r="D14" s="4">
        <f>SUM(D3:D13)</f>
        <v>78250</v>
      </c>
      <c r="H14" s="4">
        <f>SUM(H3:H13)</f>
        <v>35424</v>
      </c>
    </row>
  </sheetData>
  <drawing r:id="rId1"/>
</worksheet>
</file>