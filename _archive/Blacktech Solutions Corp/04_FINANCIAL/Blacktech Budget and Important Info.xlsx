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Financial Statement" sheetId="1" r:id="rId4"/>
    <sheet state="visible" name="2025 budget" sheetId="2" r:id="rId5"/>
    <sheet state="visible" name=" liability expenses" sheetId="3" r:id="rId6"/>
    <sheet state="visible" name="WIP SCHEDULE" sheetId="4" r:id="rId7"/>
    <sheet state="visible" name="JOB 310 E 51st" sheetId="5" r:id="rId8"/>
    <sheet state="visible" name="Passcodes" sheetId="6" r:id="rId9"/>
    <sheet state="visible" name="2024 Budget - DSB Version" sheetId="7" r:id="rId10"/>
    <sheet state="visible" name="Bank Accounts" sheetId="8" r:id="rId11"/>
    <sheet state="visible" name="ClientsCustomers" sheetId="9" r:id="rId12"/>
    <sheet state="visible" name="Contractor List" sheetId="10" r:id="rId13"/>
    <sheet state="visible" name="Payroll Information" sheetId="11" r:id="rId14"/>
    <sheet state="visible" name="Payroll Schedule (Bi Weekly)" sheetId="12" r:id="rId15"/>
    <sheet state="visible" name="Payroll Schedule (Weekly)" sheetId="13" r:id="rId16"/>
  </sheets>
  <definedNames/>
  <calcPr/>
  <extLst>
    <ext uri="GoogleSheetsCustomDataVersion2">
      <go:sheetsCustomData xmlns:go="http://customooxmlschemas.google.com/" r:id="rId17" roundtripDataChecksum="a52KGlLj5++HKBj7/GlczterRyMjm6j0Yy/rx0+136k="/>
    </ext>
  </extLst>
</workbook>
</file>

<file path=xl/sharedStrings.xml><?xml version="1.0" encoding="utf-8"?>
<sst xmlns="http://schemas.openxmlformats.org/spreadsheetml/2006/main" count="718" uniqueCount="535">
  <si>
    <t>Personal Financial Statement for:</t>
  </si>
  <si>
    <t>Derrell Black</t>
  </si>
  <si>
    <t>ASSETS:</t>
  </si>
  <si>
    <t>Checking Accounts</t>
  </si>
  <si>
    <t xml:space="preserve">July </t>
  </si>
  <si>
    <t>August</t>
  </si>
  <si>
    <t>Sept</t>
  </si>
  <si>
    <t>Bank of america</t>
  </si>
  <si>
    <t>Merrill Edge CMA</t>
  </si>
  <si>
    <t>Great lakes Credit Union</t>
  </si>
  <si>
    <t>Fifth Third Joint Account</t>
  </si>
  <si>
    <t>Fifth Third saving</t>
  </si>
  <si>
    <t>Navy Federal Credit Union</t>
  </si>
  <si>
    <t>Savings Accounts</t>
  </si>
  <si>
    <t>American Express</t>
  </si>
  <si>
    <t>americal Express CD</t>
  </si>
  <si>
    <t>Navy FerderalCredit Union</t>
  </si>
  <si>
    <t>Investment Accounts</t>
  </si>
  <si>
    <t>Merrill Edge</t>
  </si>
  <si>
    <t>Charles Scwab</t>
  </si>
  <si>
    <t>Coinbase</t>
  </si>
  <si>
    <t>cash App</t>
  </si>
  <si>
    <t>Optun</t>
  </si>
  <si>
    <t>Notes Receivable (Who Owes You)</t>
  </si>
  <si>
    <t>Personal Property</t>
  </si>
  <si>
    <t>Dates</t>
  </si>
  <si>
    <t>Real Estate</t>
  </si>
  <si>
    <t>Life Insurance</t>
  </si>
  <si>
    <t>Retirement Accounts IRA ROTH</t>
  </si>
  <si>
    <t>Other Assets</t>
  </si>
  <si>
    <t>dividend payment</t>
  </si>
  <si>
    <t>TOTAL ASSETS:</t>
  </si>
  <si>
    <t>LIABILITIES:</t>
  </si>
  <si>
    <t>24th</t>
  </si>
  <si>
    <t>Credit Card Debt Fotiva(1607.97)</t>
  </si>
  <si>
    <t>7th</t>
  </si>
  <si>
    <t>Credit Card Dept(524.24)</t>
  </si>
  <si>
    <t>Credit Card Mission</t>
  </si>
  <si>
    <t>18th</t>
  </si>
  <si>
    <t>line of credit( Lowe's)</t>
  </si>
  <si>
    <t>15th</t>
  </si>
  <si>
    <t>Line of credit(Asley)</t>
  </si>
  <si>
    <t xml:space="preserve">Home Maintenance </t>
  </si>
  <si>
    <t>26st</t>
  </si>
  <si>
    <t>Vehicle Loans</t>
  </si>
  <si>
    <t>1st</t>
  </si>
  <si>
    <t>Mortgages</t>
  </si>
  <si>
    <t>Notes Payable (Who You Owe)</t>
  </si>
  <si>
    <t>19th</t>
  </si>
  <si>
    <t>Vehicle Insurance</t>
  </si>
  <si>
    <t>Weekly tuesdays</t>
  </si>
  <si>
    <t>child support</t>
  </si>
  <si>
    <t>Weekly Sunday</t>
  </si>
  <si>
    <t>Travel</t>
  </si>
  <si>
    <t>phone</t>
  </si>
  <si>
    <t xml:space="preserve">Food </t>
  </si>
  <si>
    <t>Term life</t>
  </si>
  <si>
    <t>entertainment</t>
  </si>
  <si>
    <t xml:space="preserve">Life insurance </t>
  </si>
  <si>
    <t>personal child care expense</t>
  </si>
  <si>
    <t xml:space="preserve">Personal care expenses </t>
  </si>
  <si>
    <t>11th</t>
  </si>
  <si>
    <t>MWR membership</t>
  </si>
  <si>
    <t>Utility Gas</t>
  </si>
  <si>
    <t xml:space="preserve">Vacation packages </t>
  </si>
  <si>
    <t xml:space="preserve">Utility Electric </t>
  </si>
  <si>
    <t>Cable</t>
  </si>
  <si>
    <t>Utility water</t>
  </si>
  <si>
    <t>Loan</t>
  </si>
  <si>
    <t>Tax(6500)</t>
  </si>
  <si>
    <t>TOTAL LIABILITIES:</t>
  </si>
  <si>
    <t xml:space="preserve">NET WORTH </t>
  </si>
  <si>
    <t>expenses</t>
  </si>
  <si>
    <t>january</t>
  </si>
  <si>
    <t>feb</t>
  </si>
  <si>
    <t>mar</t>
  </si>
  <si>
    <t>apr</t>
  </si>
  <si>
    <t>may</t>
  </si>
  <si>
    <t>jun</t>
  </si>
  <si>
    <t>jul</t>
  </si>
  <si>
    <t xml:space="preserve">aug </t>
  </si>
  <si>
    <t>sept</t>
  </si>
  <si>
    <t xml:space="preserve">oct </t>
  </si>
  <si>
    <t>nov</t>
  </si>
  <si>
    <t>dec</t>
  </si>
  <si>
    <t>total</t>
  </si>
  <si>
    <t>operating revenue</t>
  </si>
  <si>
    <t xml:space="preserve">Relay Bank </t>
  </si>
  <si>
    <t>Wintrust Acc</t>
  </si>
  <si>
    <t>quickbooks ck</t>
  </si>
  <si>
    <t>TD ameritrade/chales Scwab</t>
  </si>
  <si>
    <t>Projects</t>
  </si>
  <si>
    <t>445 E 89th-Electrical</t>
  </si>
  <si>
    <t>6324 s Kimbaek Ave</t>
  </si>
  <si>
    <t>318 E 43rd St</t>
  </si>
  <si>
    <t>320 E 43rd St</t>
  </si>
  <si>
    <t>322 E 43rd St</t>
  </si>
  <si>
    <t>company Revenue</t>
  </si>
  <si>
    <t>company Expense</t>
  </si>
  <si>
    <t>Gross Profit</t>
  </si>
  <si>
    <t>Supplier</t>
  </si>
  <si>
    <t>Financing payroll</t>
  </si>
  <si>
    <t>DSB tax</t>
  </si>
  <si>
    <t>Operations Payroll</t>
  </si>
  <si>
    <t>Employess</t>
  </si>
  <si>
    <t>sub contractors</t>
  </si>
  <si>
    <t>equipment</t>
  </si>
  <si>
    <t>Marketing Payroll</t>
  </si>
  <si>
    <t>sub Marketer</t>
  </si>
  <si>
    <t xml:space="preserve">sub sale agent </t>
  </si>
  <si>
    <t>Business Coach</t>
  </si>
  <si>
    <t>freedom voice</t>
  </si>
  <si>
    <t>-</t>
  </si>
  <si>
    <t>Insurance</t>
  </si>
  <si>
    <t>car</t>
  </si>
  <si>
    <t>work comp</t>
  </si>
  <si>
    <t>health</t>
  </si>
  <si>
    <t>401k</t>
  </si>
  <si>
    <t>general liability</t>
  </si>
  <si>
    <t>software</t>
  </si>
  <si>
    <t>trello</t>
  </si>
  <si>
    <t>ring Central</t>
  </si>
  <si>
    <t>surepayroll</t>
  </si>
  <si>
    <t>contractor Forman</t>
  </si>
  <si>
    <t>quickbooks</t>
  </si>
  <si>
    <t>slack</t>
  </si>
  <si>
    <t>Fuel</t>
  </si>
  <si>
    <t>BP GAS</t>
  </si>
  <si>
    <t>travel</t>
  </si>
  <si>
    <t>vacation</t>
  </si>
  <si>
    <t>Meal</t>
  </si>
  <si>
    <t>Restraurant</t>
  </si>
  <si>
    <t>Credit Card</t>
  </si>
  <si>
    <t>Bp Universal cedit card</t>
  </si>
  <si>
    <t>Investment acct</t>
  </si>
  <si>
    <t>Charles swab</t>
  </si>
  <si>
    <t>Phone</t>
  </si>
  <si>
    <t>Verizon</t>
  </si>
  <si>
    <t>TAXES</t>
  </si>
  <si>
    <t>irs</t>
  </si>
  <si>
    <t>Rent</t>
  </si>
  <si>
    <t>office</t>
  </si>
  <si>
    <t>storage unit</t>
  </si>
  <si>
    <t>premit</t>
  </si>
  <si>
    <t>MLP Electric</t>
  </si>
  <si>
    <t>SBA</t>
  </si>
  <si>
    <t>30 year loan@355 dollars</t>
  </si>
  <si>
    <t xml:space="preserve">elevate </t>
  </si>
  <si>
    <t>due sept</t>
  </si>
  <si>
    <t>work Comp</t>
  </si>
  <si>
    <t>due may 18</t>
  </si>
  <si>
    <t xml:space="preserve">Vendor </t>
  </si>
  <si>
    <t>Material</t>
  </si>
  <si>
    <t>job address</t>
  </si>
  <si>
    <t>jan</t>
  </si>
  <si>
    <t xml:space="preserve">feb </t>
  </si>
  <si>
    <t xml:space="preserve">mar </t>
  </si>
  <si>
    <t xml:space="preserve">jun </t>
  </si>
  <si>
    <t xml:space="preserve">jul </t>
  </si>
  <si>
    <t>aug</t>
  </si>
  <si>
    <t>oct</t>
  </si>
  <si>
    <t>Dec</t>
  </si>
  <si>
    <t>Total</t>
  </si>
  <si>
    <t>Crosstown Electrical</t>
  </si>
  <si>
    <t xml:space="preserve">electrical </t>
  </si>
  <si>
    <t>herc Rental</t>
  </si>
  <si>
    <t>lift</t>
  </si>
  <si>
    <t>lllc</t>
  </si>
  <si>
    <t>state  Filing</t>
  </si>
  <si>
    <t>home Depot</t>
  </si>
  <si>
    <t>Materiial</t>
  </si>
  <si>
    <t>menard</t>
  </si>
  <si>
    <t>suppllier</t>
  </si>
  <si>
    <t>PED</t>
  </si>
  <si>
    <t>supplier</t>
  </si>
  <si>
    <t>napaton ford</t>
  </si>
  <si>
    <t>maintence</t>
  </si>
  <si>
    <t>Subs</t>
  </si>
  <si>
    <t>Field</t>
  </si>
  <si>
    <t>Current flow LLC</t>
  </si>
  <si>
    <t>Electrical</t>
  </si>
  <si>
    <t>Johnson Constuction</t>
  </si>
  <si>
    <t>HVAC</t>
  </si>
  <si>
    <t>Brent Copeland</t>
  </si>
  <si>
    <t>owner</t>
  </si>
  <si>
    <t>Omari Kamal</t>
  </si>
  <si>
    <t>Accountant</t>
  </si>
  <si>
    <t>Louisetta Williams</t>
  </si>
  <si>
    <t>Excutive assistant</t>
  </si>
  <si>
    <t>Blacktech Solutions Corp</t>
  </si>
  <si>
    <t>APRIL 2024 WIP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</si>
  <si>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</si>
  <si>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</si>
  <si>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</si>
  <si>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</si>
  <si>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</si>
  <si>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</si>
  <si>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</si>
  <si>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</si>
  <si>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</si>
  <si>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</si>
  <si>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</si>
  <si>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</si>
  <si>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</si>
  <si>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</si>
  <si>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(C-D)</t>
  </si>
  <si>
    <t>(E/C)</t>
  </si>
  <si>
    <t>(G/D)</t>
  </si>
  <si>
    <t>C*H)</t>
  </si>
  <si>
    <t>(J-I)</t>
  </si>
  <si>
    <t>(C-J)</t>
  </si>
  <si>
    <t>(E-(E*F))</t>
  </si>
  <si>
    <t>Job No.</t>
  </si>
  <si>
    <t>Job Name</t>
  </si>
  <si>
    <t>Contract</t>
  </si>
  <si>
    <t>Estimate Cost</t>
  </si>
  <si>
    <t>Gross Profit %</t>
  </si>
  <si>
    <t>Cost to date</t>
  </si>
  <si>
    <t>445 E 89th St</t>
  </si>
  <si>
    <t>6324 S. Kimbark</t>
  </si>
  <si>
    <t>GREEN START MANAGEMENT GROUP</t>
  </si>
  <si>
    <t>aminstration 25% of budget</t>
  </si>
  <si>
    <t>PROJECT</t>
  </si>
  <si>
    <t>310 E 51st</t>
  </si>
  <si>
    <t>field 60% of the budg</t>
  </si>
  <si>
    <t>Admin</t>
  </si>
  <si>
    <t>Hourly wage</t>
  </si>
  <si>
    <t xml:space="preserve">MAN HOURS </t>
  </si>
  <si>
    <t>WORK DAYS</t>
  </si>
  <si>
    <t>ADMIN TOTAL</t>
  </si>
  <si>
    <t>michelle Pressley</t>
  </si>
  <si>
    <t>FIELD</t>
  </si>
  <si>
    <t>Hourly Wage</t>
  </si>
  <si>
    <t xml:space="preserve"> FIELD TOTAL</t>
  </si>
  <si>
    <t>malon</t>
  </si>
  <si>
    <t>james Moore</t>
  </si>
  <si>
    <t>contract amont</t>
  </si>
  <si>
    <t>Revenue</t>
  </si>
  <si>
    <t>Admin Manhours</t>
  </si>
  <si>
    <t>field Manhours</t>
  </si>
  <si>
    <t>Equipment</t>
  </si>
  <si>
    <t>Total L and M</t>
  </si>
  <si>
    <t>work Comp .0435</t>
  </si>
  <si>
    <t>Total Budget</t>
  </si>
  <si>
    <t>Total hours</t>
  </si>
  <si>
    <t>Names</t>
  </si>
  <si>
    <t>Usernames</t>
  </si>
  <si>
    <t>password</t>
  </si>
  <si>
    <t>websites</t>
  </si>
  <si>
    <t>salebuilder Pro</t>
  </si>
  <si>
    <t>Comed(Mat Portal)</t>
  </si>
  <si>
    <t>Comed Standard Portal</t>
  </si>
  <si>
    <t xml:space="preserve">Nicor </t>
  </si>
  <si>
    <t>People Gas</t>
  </si>
  <si>
    <t>Amereen</t>
  </si>
  <si>
    <t>LG Portal</t>
  </si>
  <si>
    <t>Support@blacktechsolutionscorp.com</t>
  </si>
  <si>
    <t>Teamwork2024$</t>
  </si>
  <si>
    <t>LGHVAC - Dashboard (bullseyelocations.com)</t>
  </si>
  <si>
    <t>Misubishi Portal</t>
  </si>
  <si>
    <t>Derrellblack@blacktechsolutionscorp.com</t>
  </si>
  <si>
    <t>Home (site.com)</t>
  </si>
  <si>
    <t xml:space="preserve">JB Warranties </t>
  </si>
  <si>
    <t>syncrony Financial</t>
  </si>
  <si>
    <t>Greensky Financial</t>
  </si>
  <si>
    <t>JB Financial</t>
  </si>
  <si>
    <t>EFS Financial</t>
  </si>
  <si>
    <t>Conduit Tech</t>
  </si>
  <si>
    <t>Buildbook</t>
  </si>
  <si>
    <t>buildertrend</t>
  </si>
  <si>
    <t xml:space="preserve">January </t>
  </si>
  <si>
    <t xml:space="preserve">February 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</si>
  <si>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</si>
  <si>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</si>
  <si>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</si>
  <si>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</si>
  <si>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</si>
  <si>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</si>
  <si>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</si>
  <si>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</si>
  <si>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</si>
  <si>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Huntington profit 5430</t>
  </si>
  <si>
    <t>Huntington Tax</t>
  </si>
  <si>
    <t>huntington materials</t>
  </si>
  <si>
    <t>huntington income</t>
  </si>
  <si>
    <t>BMO Account</t>
  </si>
  <si>
    <t>providence CK</t>
  </si>
  <si>
    <t>Bank of America</t>
  </si>
  <si>
    <t>TD ameritrade / Charles Schwab</t>
  </si>
  <si>
    <t>CASH ON HAND</t>
  </si>
  <si>
    <t>Grow Grant</t>
  </si>
  <si>
    <t>Client/Customer/Job</t>
  </si>
  <si>
    <t>Operational Cash</t>
  </si>
  <si>
    <t>Wages &amp; Salaries</t>
  </si>
  <si>
    <t>Employee Benefits</t>
  </si>
  <si>
    <t>Health Insurance</t>
  </si>
  <si>
    <t>Workman's Comp Insurance</t>
  </si>
  <si>
    <t>Unemployment Insurance</t>
  </si>
  <si>
    <t>Employer Taxes</t>
  </si>
  <si>
    <t>Total Payroll Costs</t>
  </si>
  <si>
    <t>Accounting/Tax Prep</t>
  </si>
  <si>
    <t>Subcontractors</t>
  </si>
  <si>
    <t>Marketing (Website, MailChimp, Etc)</t>
  </si>
  <si>
    <t>MailChimp</t>
  </si>
  <si>
    <t>Go Daddy</t>
  </si>
  <si>
    <t>Host Gator</t>
  </si>
  <si>
    <t>Sales Agent</t>
  </si>
  <si>
    <t>Software</t>
  </si>
  <si>
    <t>Salebuilder Pro</t>
  </si>
  <si>
    <t>Quickbooks</t>
  </si>
  <si>
    <t>Voice Nation (phone answering)</t>
  </si>
  <si>
    <t>General Liability 
(WK Comp, Umbrella, Auto, Tools)</t>
  </si>
  <si>
    <t>Utilities</t>
  </si>
  <si>
    <t>Cell Phone</t>
  </si>
  <si>
    <t>Fuel / BP Gas</t>
  </si>
  <si>
    <t>Meals and Entertainment</t>
  </si>
  <si>
    <t>Charles Schwab</t>
  </si>
  <si>
    <t>IRS - Past Debt</t>
  </si>
  <si>
    <t>Office</t>
  </si>
  <si>
    <t>Storage Unit (Purchase)</t>
  </si>
  <si>
    <t>Total Expenses</t>
  </si>
  <si>
    <t>Monthly Income (Profit/Loss)</t>
  </si>
  <si>
    <t>Bank Name</t>
  </si>
  <si>
    <t>Account Number</t>
  </si>
  <si>
    <t>Routing Number</t>
  </si>
  <si>
    <t>Purpose of Bank Account</t>
  </si>
  <si>
    <t>Current Clients / Customers</t>
  </si>
  <si>
    <t>Client/Customer Name</t>
  </si>
  <si>
    <t>Current "Job"</t>
  </si>
  <si>
    <t>address</t>
  </si>
  <si>
    <t>Program</t>
  </si>
  <si>
    <t>Projected Revenue</t>
  </si>
  <si>
    <t>Payment Terms</t>
  </si>
  <si>
    <t>Tiffany Lett</t>
  </si>
  <si>
    <t>HVAC/heat punp</t>
  </si>
  <si>
    <t>Brant Rule</t>
  </si>
  <si>
    <t>Melvin Challahan</t>
  </si>
  <si>
    <t>Electrical/Heat Pump</t>
  </si>
  <si>
    <t>Subcontractors - get paid on performance and job completion, materials may be pre-paid</t>
  </si>
  <si>
    <t>Contract Name</t>
  </si>
  <si>
    <t>company</t>
  </si>
  <si>
    <t>Purpose</t>
  </si>
  <si>
    <t>license</t>
  </si>
  <si>
    <t>W-9 on file</t>
  </si>
  <si>
    <t>LIabilty Insurance</t>
  </si>
  <si>
    <t>Worker Comp</t>
  </si>
  <si>
    <t>Phone number</t>
  </si>
  <si>
    <t>Email</t>
  </si>
  <si>
    <t>EIN</t>
  </si>
  <si>
    <t>contract</t>
  </si>
  <si>
    <t>acount</t>
  </si>
  <si>
    <t>Bent Copeland</t>
  </si>
  <si>
    <t>no</t>
  </si>
  <si>
    <t>yes</t>
  </si>
  <si>
    <t>brentcosr@yahoo.com</t>
  </si>
  <si>
    <t>No</t>
  </si>
  <si>
    <t>David Mason</t>
  </si>
  <si>
    <t>sensatonal Heating and cooling</t>
  </si>
  <si>
    <t>1655 S Blue Island Ave Ste 439 Chicago,IL 60608</t>
  </si>
  <si>
    <t>info@sensationalheationing.com</t>
  </si>
  <si>
    <t>Joe Smith</t>
  </si>
  <si>
    <t>ADL Solutions LLC</t>
  </si>
  <si>
    <t>1440 W Taylor St Chicago,IL St 60607</t>
  </si>
  <si>
    <t>adlmyelectrician@gmail.com</t>
  </si>
  <si>
    <t>Maurice Krikendoll</t>
  </si>
  <si>
    <t>Current Flow</t>
  </si>
  <si>
    <t>14076 Lincoln Ave, Dolton ,IL 60419</t>
  </si>
  <si>
    <t>maurice.kirkendoll@currentflowllc.com</t>
  </si>
  <si>
    <t>Darryl Johnson</t>
  </si>
  <si>
    <t>Johnson Construction</t>
  </si>
  <si>
    <t>on</t>
  </si>
  <si>
    <t>darryl51@icloud.com</t>
  </si>
  <si>
    <t>Lamont Lake</t>
  </si>
  <si>
    <t>LL Electrical Services</t>
  </si>
  <si>
    <t>lamontelake@gmail.com</t>
  </si>
  <si>
    <t>Michelle Pressley</t>
  </si>
  <si>
    <t>MLP Business Support Services</t>
  </si>
  <si>
    <t xml:space="preserve"> Virtual Assisstant</t>
  </si>
  <si>
    <t>Mlpvirtualassistantservices@gmail.com</t>
  </si>
  <si>
    <t>Danielle Brown</t>
  </si>
  <si>
    <t>Dsb Solutions</t>
  </si>
  <si>
    <t>Accountanting service</t>
  </si>
  <si>
    <t>admin@dsbsolutions.net</t>
  </si>
  <si>
    <t>Phillipee Covintington</t>
  </si>
  <si>
    <t>Power Equipment Distribution</t>
  </si>
  <si>
    <t>Hvac Supplier</t>
  </si>
  <si>
    <t>phillippe.covington@pedstores.com</t>
  </si>
  <si>
    <t>Senyo Ador</t>
  </si>
  <si>
    <t>sesnengi</t>
  </si>
  <si>
    <t>Electrical Engineer</t>
  </si>
  <si>
    <t>200 W Madison Ave</t>
  </si>
  <si>
    <t>senyo@sesenergi.com</t>
  </si>
  <si>
    <t>Osei Hutchington</t>
  </si>
  <si>
    <t>Project Manger</t>
  </si>
  <si>
    <t>osei@sesenergi.com</t>
  </si>
  <si>
    <t>Bhavin Ghandi</t>
  </si>
  <si>
    <t>Resource Innovation-Comed</t>
  </si>
  <si>
    <t>Project Coordinator-SB</t>
  </si>
  <si>
    <t>bgandhi@resource-innovations.com</t>
  </si>
  <si>
    <t>Anthony Romano</t>
  </si>
  <si>
    <t>Project Manger-SB</t>
  </si>
  <si>
    <t>noreply@ri-messages.com</t>
  </si>
  <si>
    <t>Louie Molenda</t>
  </si>
  <si>
    <t>Elevate</t>
  </si>
  <si>
    <t>Tech Lead</t>
  </si>
  <si>
    <t>louis.molenda@elevatenp.org</t>
  </si>
  <si>
    <t>John Robert</t>
  </si>
  <si>
    <t>jb warranties</t>
  </si>
  <si>
    <t>sale rep</t>
  </si>
  <si>
    <t>jrobert@jbwarranties</t>
  </si>
  <si>
    <t>Chris Stienhall</t>
  </si>
  <si>
    <t>elevate construction manger</t>
  </si>
  <si>
    <t>Chris.Steinhoff@elevatenp.org</t>
  </si>
  <si>
    <t>Mike Wiley</t>
  </si>
  <si>
    <t>elevate program Manger</t>
  </si>
  <si>
    <t>Mike.weller@elevatenp.org</t>
  </si>
  <si>
    <t>ED Fritch</t>
  </si>
  <si>
    <t>Edward.Fritsch@elevatenp.org</t>
  </si>
  <si>
    <t>Racheal Young</t>
  </si>
  <si>
    <t>Elevate project coordinator</t>
  </si>
  <si>
    <t>racheal.young@elevatenp.org</t>
  </si>
  <si>
    <t>Noelle Curtis</t>
  </si>
  <si>
    <t>sunshine</t>
  </si>
  <si>
    <t>sunshine financial advisory</t>
  </si>
  <si>
    <t>noellecurtis@sunshineenterprises.com</t>
  </si>
  <si>
    <t>Victoria Wilson</t>
  </si>
  <si>
    <t>Naturally Urban</t>
  </si>
  <si>
    <t>Engineer/contractor</t>
  </si>
  <si>
    <t>naturallyurban.green.co@gmail.com</t>
  </si>
  <si>
    <t>Victoria Thompson</t>
  </si>
  <si>
    <t>Carrier Distribution HVAC</t>
  </si>
  <si>
    <t>Distribution Regional Manger</t>
  </si>
  <si>
    <t>victoria.Thompson@lge.com</t>
  </si>
  <si>
    <t>Green Holmes</t>
  </si>
  <si>
    <t>Contractor</t>
  </si>
  <si>
    <t>greenholmes@gmail.com</t>
  </si>
  <si>
    <t>Jeffery Dawkins</t>
  </si>
  <si>
    <t>Lewis Dawins Associate</t>
  </si>
  <si>
    <t>Developer</t>
  </si>
  <si>
    <t>dawkinsnewtwork13@gmail.com</t>
  </si>
  <si>
    <t>Andrea Paxson</t>
  </si>
  <si>
    <t>black wall street</t>
  </si>
  <si>
    <t>developer</t>
  </si>
  <si>
    <t>Ms.a.paxson@gmail.com</t>
  </si>
  <si>
    <t>Chris Williams</t>
  </si>
  <si>
    <t xml:space="preserve">Millienium traning </t>
  </si>
  <si>
    <t>millenniumsolarelectric@gmail.com</t>
  </si>
  <si>
    <t>David Muhammad</t>
  </si>
  <si>
    <t>Genesus Construction Training Center</t>
  </si>
  <si>
    <t>contracting/Training</t>
  </si>
  <si>
    <t>7330 S Ridgeland Ave</t>
  </si>
  <si>
    <t>John Worthy</t>
  </si>
  <si>
    <t>solar union/contractor</t>
  </si>
  <si>
    <t>Obaid Haleem</t>
  </si>
  <si>
    <t>Huntington Bank</t>
  </si>
  <si>
    <t>Banker Vice President</t>
  </si>
  <si>
    <t xml:space="preserve">Necole Matlock </t>
  </si>
  <si>
    <t>Strategic HR Develoment</t>
  </si>
  <si>
    <t>Virtual Assissant</t>
  </si>
  <si>
    <t>14855 S Van Dyke RD, plainfield ,IL</t>
  </si>
  <si>
    <t>necole.matlock@strategichrdevolment.com</t>
  </si>
  <si>
    <t>Keith Rose</t>
  </si>
  <si>
    <t>allnet-sales rep</t>
  </si>
  <si>
    <t>low voltage supplier</t>
  </si>
  <si>
    <t>2680 United Lane, Elk grove,IL 60007</t>
  </si>
  <si>
    <t>Kieth.rose@snap.com</t>
  </si>
  <si>
    <t>01-BLAS01</t>
  </si>
  <si>
    <t xml:space="preserve">Danny Avila </t>
  </si>
  <si>
    <t>allnet-branch manger</t>
  </si>
  <si>
    <t>danny.avila@snap.com</t>
  </si>
  <si>
    <t>Micheal Petway</t>
  </si>
  <si>
    <t>Mlp Electric</t>
  </si>
  <si>
    <t>mlpelectric@gmail.com</t>
  </si>
  <si>
    <t>Slobo</t>
  </si>
  <si>
    <t>Misubishi Electric</t>
  </si>
  <si>
    <t>Sale Rep</t>
  </si>
  <si>
    <t>June Getzinger</t>
  </si>
  <si>
    <t>Greensky Account Mamger</t>
  </si>
  <si>
    <t>Account Manger</t>
  </si>
  <si>
    <t>june@imobilesupport.com</t>
  </si>
  <si>
    <t>David</t>
  </si>
  <si>
    <t>synchrony Financial</t>
  </si>
  <si>
    <t>Account Rep</t>
  </si>
  <si>
    <t>Joel Neivels</t>
  </si>
  <si>
    <t>Manger-standard program</t>
  </si>
  <si>
    <t>LEE</t>
  </si>
  <si>
    <t>CDC</t>
  </si>
  <si>
    <t>Manger-Residential program</t>
  </si>
  <si>
    <t>Kevin Jones</t>
  </si>
  <si>
    <t>all weather specialist</t>
  </si>
  <si>
    <t>Terry Frisenda</t>
  </si>
  <si>
    <t>LG</t>
  </si>
  <si>
    <t>Irvin Yoke</t>
  </si>
  <si>
    <t>Franklin Energy-comed</t>
  </si>
  <si>
    <t>account manger-Mulifamily</t>
  </si>
  <si>
    <t>Glen Maxam</t>
  </si>
  <si>
    <t>Franklin Energy-people gas</t>
  </si>
  <si>
    <t>accuount manger-SB/MF</t>
  </si>
  <si>
    <t>Jessica Benson</t>
  </si>
  <si>
    <t>sale Rep</t>
  </si>
  <si>
    <t>Richelle Morey</t>
  </si>
  <si>
    <t>Travis Scott</t>
  </si>
  <si>
    <t>David Johnson</t>
  </si>
  <si>
    <t>Micheal Charles</t>
  </si>
  <si>
    <t>Louisetta Willams</t>
  </si>
  <si>
    <t>Omar</t>
  </si>
  <si>
    <t>Shon Harris</t>
  </si>
  <si>
    <t>Kenny Gray</t>
  </si>
  <si>
    <t>Shaker Hadded</t>
  </si>
  <si>
    <t>William Knight</t>
  </si>
  <si>
    <t>Debra Witertaker</t>
  </si>
  <si>
    <t>Karen Youngblood</t>
  </si>
  <si>
    <t>Steve Rich Jr</t>
  </si>
  <si>
    <t>Reven Fellows</t>
  </si>
  <si>
    <t>Omar Shareff</t>
  </si>
  <si>
    <t>Irma Hallaway</t>
  </si>
  <si>
    <t>Mike Evan</t>
  </si>
  <si>
    <t>Calvin Payne</t>
  </si>
  <si>
    <t>Cynthia Stewart</t>
  </si>
  <si>
    <t>Cynthia Meyers</t>
  </si>
  <si>
    <t>Kyle Johnson</t>
  </si>
  <si>
    <t>Angel Jones</t>
  </si>
  <si>
    <t>Tiffany McFerren</t>
  </si>
  <si>
    <t>Payroll Frequency:</t>
  </si>
  <si>
    <t>Bi-Weekly</t>
  </si>
  <si>
    <t>First Payroll:</t>
  </si>
  <si>
    <t>Employee Information</t>
  </si>
  <si>
    <t>Name</t>
  </si>
  <si>
    <t>Submitted a Completed W4 etc</t>
  </si>
  <si>
    <t>BI WEEKLY PAYROLL</t>
  </si>
  <si>
    <t>Payroll Start</t>
  </si>
  <si>
    <t>Payroll End Date</t>
  </si>
  <si>
    <t>Time Due</t>
  </si>
  <si>
    <t>Pay / Check Date</t>
  </si>
  <si>
    <t>WEEKLY 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</si>
</sst>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u/>
      <color theme="1"/>
      <name val="Arial"/>
    </font>
    <font>
      <color rgb="FF000000"/>
      <name val="Arial"/>
    </font>
    <font>
      <b/>
      <i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  <font>
      <b/>
      <i/>
      <sz val="11.0"/>
      <color theme="1"/>
      <name val="Aptos narrow"/>
    </font>
    <font>
      <u/>
      <color rgb="FF0000FF"/>
    </font>
    <font>
      <b/>
      <sz val="11.0"/>
      <color rgb="FF000000"/>
      <name val="Calibri"/>
    </font>
    <font/>
    <font>
      <sz val="11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1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164" xfId="0" applyFont="1" applyNumberFormat="1"/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3" fontId="1" numFmtId="0" xfId="0" applyFill="1" applyFont="1"/>
    <xf borderId="0" fillId="3" fontId="2" numFmtId="164" xfId="0" applyFont="1" applyNumberFormat="1"/>
    <xf borderId="0" fillId="3" fontId="2" numFmtId="0" xfId="0" applyFont="1"/>
    <xf borderId="0" fillId="0" fontId="1" numFmtId="0" xfId="0" applyAlignment="1" applyFont="1">
      <alignment readingOrder="0"/>
    </xf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10" fontId="2" numFmtId="0" xfId="0" applyFill="1" applyFont="1"/>
    <xf borderId="0" fillId="11" fontId="2" numFmtId="0" xfId="0" applyFill="1" applyFont="1"/>
    <xf borderId="0" fillId="0" fontId="2" numFmtId="3" xfId="0" applyFont="1" applyNumberFormat="1"/>
    <xf borderId="0" fillId="0" fontId="2" numFmtId="4" xfId="0" applyFont="1" applyNumberFormat="1"/>
    <xf borderId="0" fillId="0" fontId="4" numFmtId="0" xfId="0" applyAlignment="1" applyFont="1">
      <alignment horizontal="center"/>
    </xf>
    <xf borderId="0" fillId="6" fontId="5" numFmtId="0" xfId="0" applyFont="1"/>
    <xf borderId="0" fillId="10" fontId="5" numFmtId="0" xfId="0" applyFont="1"/>
    <xf borderId="0" fillId="0" fontId="6" numFmtId="0" xfId="0" applyFont="1"/>
    <xf borderId="1" fillId="12" fontId="7" numFmtId="0" xfId="0" applyBorder="1" applyFill="1" applyFont="1"/>
    <xf borderId="1" fillId="13" fontId="7" numFmtId="3" xfId="0" applyBorder="1" applyFill="1" applyFont="1" applyNumberFormat="1"/>
    <xf borderId="1" fillId="13" fontId="7" numFmtId="0" xfId="0" applyBorder="1" applyFont="1"/>
    <xf borderId="0" fillId="0" fontId="7" numFmtId="3" xfId="0" applyFont="1" applyNumberFormat="1"/>
    <xf borderId="0" fillId="0" fontId="7" numFmtId="9" xfId="0" applyFont="1" applyNumberFormat="1"/>
    <xf borderId="1" fillId="14" fontId="7" numFmtId="0" xfId="0" applyBorder="1" applyFill="1" applyFont="1"/>
    <xf borderId="1" fillId="14" fontId="8" numFmtId="164" xfId="0" applyBorder="1" applyFont="1" applyNumberFormat="1"/>
    <xf borderId="1" fillId="13" fontId="8" numFmtId="164" xfId="0" applyBorder="1" applyFont="1" applyNumberFormat="1"/>
    <xf borderId="0" fillId="0" fontId="7" numFmtId="164" xfId="0" applyFont="1" applyNumberFormat="1"/>
    <xf borderId="0" fillId="6" fontId="9" numFmtId="0" xfId="0" applyFont="1"/>
    <xf borderId="0" fillId="13" fontId="9" numFmtId="164" xfId="0" applyFont="1" applyNumberFormat="1"/>
    <xf borderId="0" fillId="6" fontId="10" numFmtId="164" xfId="0" applyFont="1" applyNumberFormat="1"/>
    <xf borderId="0" fillId="14" fontId="2" numFmtId="164" xfId="0" applyFont="1" applyNumberFormat="1"/>
    <xf borderId="0" fillId="0" fontId="8" numFmtId="9" xfId="0" applyFont="1" applyNumberFormat="1"/>
    <xf borderId="0" fillId="14" fontId="9" numFmtId="164" xfId="0" applyFont="1" applyNumberFormat="1"/>
    <xf borderId="0" fillId="6" fontId="9" numFmtId="164" xfId="0" applyFont="1" applyNumberFormat="1"/>
    <xf borderId="0" fillId="6" fontId="10" numFmtId="0" xfId="0" applyFont="1"/>
    <xf borderId="2" fillId="15" fontId="11" numFmtId="0" xfId="0" applyBorder="1" applyFill="1" applyFont="1"/>
    <xf borderId="2" fillId="15" fontId="11" numFmtId="164" xfId="0" applyBorder="1" applyFont="1" applyNumberFormat="1"/>
    <xf borderId="2" fillId="15" fontId="11" numFmtId="9" xfId="0" applyBorder="1" applyFont="1" applyNumberFormat="1"/>
    <xf borderId="2" fillId="15" fontId="6" numFmtId="164" xfId="0" applyBorder="1" applyFont="1" applyNumberFormat="1"/>
    <xf borderId="0" fillId="6" fontId="7" numFmtId="0" xfId="0" applyFont="1"/>
    <xf borderId="0" fillId="16" fontId="2" numFmtId="0" xfId="0" applyFill="1" applyFont="1"/>
    <xf borderId="0" fillId="17" fontId="2" numFmtId="0" xfId="0" applyFill="1" applyFont="1"/>
    <xf borderId="0" fillId="0" fontId="12" numFmtId="0" xfId="0" applyFont="1"/>
    <xf borderId="0" fillId="4" fontId="1" numFmtId="164" xfId="0" applyFont="1" applyNumberFormat="1"/>
    <xf borderId="0" fillId="6" fontId="2" numFmtId="0" xfId="0" applyAlignment="1" applyFont="1">
      <alignment horizontal="right"/>
    </xf>
    <xf borderId="0" fillId="6" fontId="2" numFmtId="164" xfId="0" applyFont="1" applyNumberForma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18" fontId="2" numFmtId="0" xfId="0" applyFill="1" applyFont="1"/>
    <xf borderId="0" fillId="7" fontId="2" numFmtId="0" xfId="0" applyAlignment="1" applyFont="1">
      <alignment readingOrder="0"/>
    </xf>
    <xf borderId="0" fillId="15" fontId="2" numFmtId="0" xfId="0" applyFont="1"/>
    <xf borderId="3" fillId="0" fontId="13" numFmtId="0" xfId="0" applyAlignment="1" applyBorder="1" applyFont="1">
      <alignment horizontal="center" shrinkToFit="0" vertical="bottom" wrapText="0"/>
    </xf>
    <xf borderId="2" fillId="0" fontId="14" numFmtId="0" xfId="0" applyBorder="1" applyFont="1"/>
    <xf borderId="4" fillId="0" fontId="14" numFmtId="0" xfId="0" applyBorder="1" applyFont="1"/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15" numFmtId="165" xfId="0" applyAlignment="1" applyBorder="1" applyFont="1" applyNumberFormat="1">
      <alignment horizontal="right" shrinkToFit="0" vertical="bottom" wrapText="0"/>
    </xf>
    <xf borderId="6" fillId="0" fontId="15" numFmtId="165" xfId="0" applyAlignment="1" applyBorder="1" applyFont="1" applyNumberFormat="1">
      <alignment horizontal="right" shrinkToFit="0" vertical="bottom" wrapText="0"/>
    </xf>
    <xf borderId="7" fillId="0" fontId="13" numFmtId="0" xfId="0" applyAlignment="1" applyBorder="1" applyFont="1">
      <alignment horizontal="center" shrinkToFit="0" vertical="bottom" wrapText="0"/>
    </xf>
    <xf borderId="8" fillId="0" fontId="14" numFmtId="0" xfId="0" applyBorder="1" applyFont="1"/>
    <xf borderId="9" fillId="0" fontId="14" numFmtId="0" xfId="0" applyBorder="1" applyFont="1"/>
    <xf borderId="10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828675</xdr:colOff>
      <xdr:row>6</xdr:row>
      <xdr:rowOff>76200</xdr:rowOff>
    </xdr:from>
    <xdr:ext cx="714375" cy="685800"/>
    <xdr:sp>
      <xdr:nvSpPr>
        <xdr:cNvPr id="3" name="Shape 3"/>
        <xdr:cNvSpPr txBox="1"/>
      </xdr:nvSpPr>
      <xdr:spPr>
        <a:xfrm>
          <a:off x="4993575" y="3441863"/>
          <a:ext cx="704850" cy="676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Percent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complete</a:t>
          </a:r>
          <a:endParaRPr sz="1400"/>
        </a:p>
      </xdr:txBody>
    </xdr:sp>
    <xdr:clientData fLocksWithSheet="0"/>
  </xdr:oneCellAnchor>
  <xdr:oneCellAnchor>
    <xdr:from>
      <xdr:col>7</xdr:col>
      <xdr:colOff>695325</xdr:colOff>
      <xdr:row>7</xdr:row>
      <xdr:rowOff>0</xdr:rowOff>
    </xdr:from>
    <xdr:ext cx="609600" cy="495300"/>
    <xdr:sp>
      <xdr:nvSpPr>
        <xdr:cNvPr id="4" name="Shape 4"/>
        <xdr:cNvSpPr txBox="1"/>
      </xdr:nvSpPr>
      <xdr:spPr>
        <a:xfrm>
          <a:off x="5045963" y="3537113"/>
          <a:ext cx="600075" cy="485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Billing to Date</a:t>
          </a:r>
          <a:endParaRPr sz="1400"/>
        </a:p>
      </xdr:txBody>
    </xdr:sp>
    <xdr:clientData fLocksWithSheet="0"/>
  </xdr:oneCellAnchor>
  <xdr:oneCellAnchor>
    <xdr:from>
      <xdr:col>9</xdr:col>
      <xdr:colOff>9525</xdr:colOff>
      <xdr:row>7</xdr:row>
      <xdr:rowOff>0</xdr:rowOff>
    </xdr:from>
    <xdr:ext cx="1009650" cy="742950"/>
    <xdr:sp>
      <xdr:nvSpPr>
        <xdr:cNvPr id="5" name="Shape 5"/>
        <xdr:cNvSpPr txBox="1"/>
      </xdr:nvSpPr>
      <xdr:spPr>
        <a:xfrm>
          <a:off x="4845938" y="3413288"/>
          <a:ext cx="1000125" cy="733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Revenue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</a:rPr>
            <a:t>Recognized</a:t>
          </a:r>
          <a:endParaRPr sz="1400"/>
        </a:p>
      </xdr:txBody>
    </xdr:sp>
    <xdr:clientData fLocksWithSheet="0"/>
  </xdr:oneCellAnchor>
  <xdr:oneCellAnchor>
    <xdr:from>
      <xdr:col>10</xdr:col>
      <xdr:colOff>19050</xdr:colOff>
      <xdr:row>6</xdr:row>
      <xdr:rowOff>152400</xdr:rowOff>
    </xdr:from>
    <xdr:ext cx="1200150" cy="733425"/>
    <xdr:sp>
      <xdr:nvSpPr>
        <xdr:cNvPr id="6" name="Shape 6"/>
        <xdr:cNvSpPr txBox="1"/>
      </xdr:nvSpPr>
      <xdr:spPr>
        <a:xfrm>
          <a:off x="4750688" y="3418050"/>
          <a:ext cx="1190625" cy="723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"/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Cost in excess of  billing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"/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(underbillings)</a:t>
          </a:r>
          <a:endParaRPr sz="10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"/>
            <a:buNone/>
          </a:pPr>
          <a:r>
            <a:rPr lang="en-US" sz="1000">
              <a:solidFill>
                <a:schemeClr val="dk1"/>
              </a:solidFill>
            </a:rPr>
            <a:t>LIABILITY</a:t>
          </a:r>
          <a:endParaRPr sz="10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57150</xdr:colOff>
      <xdr:row>6</xdr:row>
      <xdr:rowOff>133350</xdr:rowOff>
    </xdr:from>
    <xdr:ext cx="1028700" cy="1123950"/>
    <xdr:sp>
      <xdr:nvSpPr>
        <xdr:cNvPr id="7" name="Shape 7"/>
        <xdr:cNvSpPr txBox="1"/>
      </xdr:nvSpPr>
      <xdr:spPr>
        <a:xfrm>
          <a:off x="4836413" y="3222788"/>
          <a:ext cx="1019175" cy="1114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Billing in excess of cost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(overbilling)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</a:rPr>
            <a:t>ASSET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38100</xdr:colOff>
      <xdr:row>7</xdr:row>
      <xdr:rowOff>9525</xdr:rowOff>
    </xdr:from>
    <xdr:ext cx="838200" cy="590550"/>
    <xdr:sp>
      <xdr:nvSpPr>
        <xdr:cNvPr id="8" name="Shape 8"/>
        <xdr:cNvSpPr txBox="1"/>
      </xdr:nvSpPr>
      <xdr:spPr>
        <a:xfrm>
          <a:off x="4931663" y="3489488"/>
          <a:ext cx="828675" cy="58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Revene Backl</a:t>
          </a:r>
          <a:r>
            <a:rPr lang="en-US" sz="1100">
              <a:solidFill>
                <a:schemeClr val="dk1"/>
              </a:solidFill>
            </a:rPr>
            <a:t>o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</a:t>
          </a:r>
          <a:endParaRPr sz="1400"/>
        </a:p>
      </xdr:txBody>
    </xdr:sp>
    <xdr:clientData fLocksWithSheet="0"/>
  </xdr:oneCellAnchor>
  <xdr:oneCellAnchor>
    <xdr:from>
      <xdr:col>13</xdr:col>
      <xdr:colOff>28575</xdr:colOff>
      <xdr:row>7</xdr:row>
      <xdr:rowOff>0</xdr:rowOff>
    </xdr:from>
    <xdr:ext cx="828675" cy="619125"/>
    <xdr:sp>
      <xdr:nvSpPr>
        <xdr:cNvPr id="9" name="Shape 9"/>
        <xdr:cNvSpPr txBox="1"/>
      </xdr:nvSpPr>
      <xdr:spPr>
        <a:xfrm>
          <a:off x="4936425" y="3475200"/>
          <a:ext cx="819150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Gross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Profit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Backlog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p.bullseyelocations.com/Admin/Dashboard.aspx?id=6987" TargetMode="External"/><Relationship Id="rId2" Type="http://schemas.openxmlformats.org/officeDocument/2006/relationships/hyperlink" Target="https://meta-hvac.my.site.com/Contractor/s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39.63"/>
    <col customWidth="1" min="3" max="3" width="17.25"/>
    <col customWidth="1" min="4" max="4" width="13.0"/>
    <col customWidth="1" min="5" max="7" width="12.63"/>
  </cols>
  <sheetData>
    <row r="1" ht="15.75" customHeight="1"/>
    <row r="2" ht="15.75" customHeight="1">
      <c r="A2" s="1"/>
      <c r="B2" s="1" t="s">
        <v>0</v>
      </c>
    </row>
    <row r="3" ht="15.75" customHeight="1">
      <c r="A3" s="2"/>
      <c r="B3" s="2" t="s">
        <v>1</v>
      </c>
    </row>
    <row r="4" ht="15.75" customHeight="1"/>
    <row r="5" ht="15.75" customHeight="1">
      <c r="A5" s="3"/>
      <c r="B5" s="3" t="s">
        <v>2</v>
      </c>
    </row>
    <row r="6" ht="15.75" customHeight="1">
      <c r="A6" s="4"/>
      <c r="B6" s="4" t="s">
        <v>3</v>
      </c>
      <c r="C6" s="5" t="s">
        <v>4</v>
      </c>
      <c r="D6" s="6" t="s">
        <v>5</v>
      </c>
      <c r="E6" s="5" t="s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7"/>
      <c r="B7" s="7" t="s">
        <v>7</v>
      </c>
      <c r="C7" s="8">
        <v>0.0</v>
      </c>
      <c r="D7" s="9">
        <v>0.0</v>
      </c>
    </row>
    <row r="8" ht="15.75" customHeight="1">
      <c r="A8" s="10"/>
      <c r="B8" s="10" t="s">
        <v>8</v>
      </c>
      <c r="C8" s="9">
        <f>1668+1834</f>
        <v>3502</v>
      </c>
      <c r="D8" s="9">
        <v>5224.63</v>
      </c>
    </row>
    <row r="9" ht="15.75" customHeight="1">
      <c r="A9" s="7"/>
      <c r="B9" s="7" t="s">
        <v>9</v>
      </c>
      <c r="C9" s="9">
        <v>200.0</v>
      </c>
      <c r="D9" s="9">
        <v>615.0</v>
      </c>
    </row>
    <row r="10" ht="15.75" customHeight="1">
      <c r="A10" s="7"/>
      <c r="B10" s="7" t="s">
        <v>10</v>
      </c>
      <c r="C10" s="9">
        <v>300.0</v>
      </c>
      <c r="D10" s="9">
        <v>24.0</v>
      </c>
    </row>
    <row r="11" ht="15.75" customHeight="1">
      <c r="A11" s="7"/>
      <c r="B11" s="10" t="s">
        <v>11</v>
      </c>
      <c r="C11" s="9"/>
      <c r="D11" s="9">
        <v>30.0</v>
      </c>
    </row>
    <row r="12" ht="15.75" customHeight="1">
      <c r="A12" s="7"/>
      <c r="B12" s="7"/>
      <c r="C12" s="9"/>
      <c r="D12" s="9"/>
    </row>
    <row r="13" ht="15.75" customHeight="1">
      <c r="A13" s="7"/>
      <c r="B13" s="7" t="s">
        <v>12</v>
      </c>
      <c r="C13" s="9">
        <v>150.0</v>
      </c>
      <c r="D13" s="8"/>
    </row>
    <row r="14" ht="15.75" customHeight="1">
      <c r="A14" s="4"/>
      <c r="B14" s="4" t="s">
        <v>13</v>
      </c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7"/>
      <c r="B15" s="7" t="s">
        <v>14</v>
      </c>
      <c r="C15" s="9">
        <v>0.0</v>
      </c>
      <c r="D15" s="8"/>
    </row>
    <row r="16" ht="15.75" customHeight="1">
      <c r="A16" s="7"/>
      <c r="B16" s="7" t="s">
        <v>15</v>
      </c>
      <c r="C16" s="8">
        <v>505.68</v>
      </c>
      <c r="D16" s="9">
        <v>505.68</v>
      </c>
    </row>
    <row r="17" ht="15.75" customHeight="1">
      <c r="A17" s="7"/>
      <c r="B17" s="7" t="s">
        <v>10</v>
      </c>
      <c r="C17" s="9">
        <v>30.0</v>
      </c>
      <c r="D17" s="8"/>
    </row>
    <row r="18" ht="15.75" customHeight="1">
      <c r="A18" s="7"/>
      <c r="B18" s="7" t="s">
        <v>16</v>
      </c>
      <c r="C18" s="9">
        <v>0.0</v>
      </c>
      <c r="D18" s="8"/>
    </row>
    <row r="19" ht="15.75" customHeight="1">
      <c r="A19" s="4"/>
      <c r="B19" s="4" t="s">
        <v>17</v>
      </c>
      <c r="C19" s="11"/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7"/>
      <c r="B20" s="7" t="s">
        <v>18</v>
      </c>
      <c r="C20" s="9">
        <v>1519.52</v>
      </c>
      <c r="D20" s="9">
        <v>800.0</v>
      </c>
    </row>
    <row r="21" ht="15.75" customHeight="1">
      <c r="A21" s="7"/>
      <c r="B21" s="10" t="s">
        <v>19</v>
      </c>
      <c r="C21" s="9">
        <v>171.0</v>
      </c>
      <c r="D21" s="9">
        <v>171.0</v>
      </c>
    </row>
    <row r="22" ht="15.75" customHeight="1">
      <c r="A22" s="7"/>
      <c r="B22" s="7" t="s">
        <v>20</v>
      </c>
      <c r="C22" s="9">
        <v>0.0</v>
      </c>
      <c r="D22" s="8"/>
    </row>
    <row r="23" ht="15.75" customHeight="1">
      <c r="A23" s="7"/>
      <c r="B23" s="7" t="s">
        <v>21</v>
      </c>
      <c r="C23" s="9">
        <v>0.0</v>
      </c>
      <c r="D23" s="8"/>
    </row>
    <row r="24" ht="15.75" customHeight="1">
      <c r="A24" s="7"/>
      <c r="B24" s="10" t="s">
        <v>22</v>
      </c>
      <c r="C24" s="9">
        <v>133.21</v>
      </c>
      <c r="D24" s="9">
        <v>133.21</v>
      </c>
    </row>
    <row r="25" ht="15.75" customHeight="1">
      <c r="A25" s="7"/>
      <c r="B25" s="7" t="s">
        <v>23</v>
      </c>
      <c r="C25" s="9">
        <v>0.0</v>
      </c>
      <c r="D25" s="8"/>
    </row>
    <row r="26" ht="15.75" customHeight="1">
      <c r="A26" s="7"/>
      <c r="B26" s="7" t="s">
        <v>24</v>
      </c>
      <c r="C26" s="8">
        <v>0.0</v>
      </c>
      <c r="D26" s="8"/>
    </row>
    <row r="27" ht="15.75" customHeight="1">
      <c r="A27" s="10" t="s">
        <v>25</v>
      </c>
      <c r="B27" s="7" t="s">
        <v>26</v>
      </c>
      <c r="C27" s="8">
        <v>0.0</v>
      </c>
      <c r="D27" s="8"/>
    </row>
    <row r="28" ht="15.75" customHeight="1">
      <c r="A28" s="7"/>
      <c r="B28" s="7" t="s">
        <v>27</v>
      </c>
      <c r="C28" s="8">
        <f>0</f>
        <v>0</v>
      </c>
      <c r="D28" s="9">
        <v>1726.0</v>
      </c>
    </row>
    <row r="29" ht="15.75" customHeight="1">
      <c r="A29" s="7"/>
      <c r="B29" s="7" t="s">
        <v>28</v>
      </c>
      <c r="C29" s="9">
        <v>0.0</v>
      </c>
      <c r="D29" s="9">
        <v>1600.0</v>
      </c>
    </row>
    <row r="30" ht="15.75" customHeight="1">
      <c r="A30" s="7"/>
      <c r="B30" s="7" t="s">
        <v>29</v>
      </c>
      <c r="C30" s="9">
        <v>36.0</v>
      </c>
      <c r="D30" s="8"/>
    </row>
    <row r="31" ht="15.75" customHeight="1">
      <c r="B31" s="12" t="s">
        <v>30</v>
      </c>
      <c r="C31" s="13"/>
      <c r="D31" s="10">
        <v>7.2</v>
      </c>
    </row>
    <row r="32" ht="15.75" customHeight="1">
      <c r="C32" s="14"/>
      <c r="D32" s="7"/>
    </row>
    <row r="33" ht="15.75" customHeight="1">
      <c r="A33" s="3"/>
      <c r="B33" s="3" t="s">
        <v>31</v>
      </c>
      <c r="C33" s="14">
        <f t="shared" ref="C33:D33" si="1">SUM(C7:C30)</f>
        <v>6547.41</v>
      </c>
      <c r="D33" s="14">
        <f t="shared" si="1"/>
        <v>10829.52</v>
      </c>
    </row>
    <row r="34" ht="15.75" customHeight="1">
      <c r="C34" s="8"/>
    </row>
    <row r="35" ht="15.75" customHeight="1">
      <c r="A35" s="15"/>
      <c r="B35" s="15" t="s">
        <v>32</v>
      </c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0" t="s">
        <v>33</v>
      </c>
      <c r="B36" s="10" t="s">
        <v>34</v>
      </c>
      <c r="C36" s="9">
        <v>182.0</v>
      </c>
      <c r="D36" s="9">
        <v>26.0</v>
      </c>
    </row>
    <row r="37" ht="15.75" customHeight="1">
      <c r="A37" s="10" t="s">
        <v>35</v>
      </c>
      <c r="B37" s="10" t="s">
        <v>36</v>
      </c>
      <c r="C37" s="9">
        <v>153.0</v>
      </c>
      <c r="D37" s="9">
        <v>0.0</v>
      </c>
    </row>
    <row r="38" ht="15.75" customHeight="1">
      <c r="A38" s="10"/>
      <c r="B38" s="10" t="s">
        <v>37</v>
      </c>
      <c r="C38" s="9">
        <v>170.0</v>
      </c>
      <c r="D38" s="9">
        <v>0.0</v>
      </c>
    </row>
    <row r="39" ht="15.75" customHeight="1">
      <c r="A39" s="10" t="s">
        <v>38</v>
      </c>
      <c r="B39" s="10" t="s">
        <v>39</v>
      </c>
      <c r="C39" s="9">
        <v>125.0</v>
      </c>
      <c r="D39" s="9">
        <v>0.0</v>
      </c>
    </row>
    <row r="40" ht="15.75" customHeight="1">
      <c r="A40" s="10" t="s">
        <v>40</v>
      </c>
      <c r="B40" s="10" t="s">
        <v>41</v>
      </c>
      <c r="C40" s="9">
        <v>400.0</v>
      </c>
      <c r="D40" s="9">
        <v>0.0</v>
      </c>
    </row>
    <row r="41" ht="15.75" customHeight="1">
      <c r="A41" s="7"/>
      <c r="B41" s="10" t="s">
        <v>42</v>
      </c>
      <c r="C41" s="9">
        <v>450.0</v>
      </c>
      <c r="D41" s="9">
        <v>65.0</v>
      </c>
    </row>
    <row r="42" ht="15.75" customHeight="1">
      <c r="A42" s="10" t="s">
        <v>43</v>
      </c>
      <c r="B42" s="7" t="s">
        <v>44</v>
      </c>
      <c r="C42" s="9">
        <v>504.0</v>
      </c>
      <c r="D42" s="9">
        <v>0.0</v>
      </c>
    </row>
    <row r="43" ht="15.75" customHeight="1">
      <c r="A43" s="10" t="s">
        <v>45</v>
      </c>
      <c r="B43" s="7" t="s">
        <v>46</v>
      </c>
      <c r="C43" s="9">
        <v>1000.0</v>
      </c>
      <c r="D43" s="9">
        <v>1950.0</v>
      </c>
    </row>
    <row r="44" ht="15.75" customHeight="1">
      <c r="A44" s="7"/>
      <c r="B44" s="7" t="s">
        <v>47</v>
      </c>
      <c r="C44" s="9">
        <v>317.0</v>
      </c>
      <c r="D44" s="8"/>
    </row>
    <row r="45" ht="15.75" customHeight="1">
      <c r="A45" s="12" t="s">
        <v>48</v>
      </c>
      <c r="B45" s="12" t="s">
        <v>49</v>
      </c>
      <c r="C45" s="13">
        <v>251.0</v>
      </c>
      <c r="D45" s="12">
        <v>321.59</v>
      </c>
    </row>
    <row r="46" ht="15.75" customHeight="1">
      <c r="A46" s="12" t="s">
        <v>50</v>
      </c>
      <c r="B46" s="12" t="s">
        <v>51</v>
      </c>
      <c r="C46" s="13">
        <v>300.0</v>
      </c>
      <c r="D46" s="13">
        <v>450.0</v>
      </c>
    </row>
    <row r="47" ht="15.75" customHeight="1">
      <c r="A47" s="12" t="s">
        <v>52</v>
      </c>
      <c r="B47" s="12" t="s">
        <v>53</v>
      </c>
      <c r="C47" s="13">
        <v>175.0</v>
      </c>
      <c r="D47" s="12">
        <v>65.72</v>
      </c>
    </row>
    <row r="48" ht="15.75" customHeight="1">
      <c r="A48" s="12"/>
      <c r="B48" s="12" t="s">
        <v>54</v>
      </c>
      <c r="C48" s="13">
        <v>175.0</v>
      </c>
      <c r="D48" s="12">
        <v>163.0</v>
      </c>
    </row>
    <row r="49" ht="15.75" customHeight="1">
      <c r="A49" s="12"/>
      <c r="B49" s="12" t="s">
        <v>55</v>
      </c>
      <c r="C49" s="13">
        <v>350.0</v>
      </c>
      <c r="D49" s="12">
        <v>124.0</v>
      </c>
    </row>
    <row r="50" ht="15.75" customHeight="1">
      <c r="A50" s="12" t="s">
        <v>40</v>
      </c>
      <c r="B50" s="12" t="s">
        <v>56</v>
      </c>
      <c r="C50" s="13">
        <v>71.0</v>
      </c>
      <c r="D50" s="12">
        <v>110.0</v>
      </c>
    </row>
    <row r="51" ht="15.75" customHeight="1">
      <c r="A51" s="12"/>
      <c r="B51" s="12" t="s">
        <v>57</v>
      </c>
      <c r="C51" s="13"/>
      <c r="D51" s="12">
        <f>52+4</f>
        <v>56</v>
      </c>
    </row>
    <row r="52" ht="15.75" customHeight="1">
      <c r="A52" s="12"/>
      <c r="B52" s="12" t="s">
        <v>58</v>
      </c>
      <c r="C52" s="13">
        <v>0.0</v>
      </c>
      <c r="D52" s="12">
        <v>1726.0</v>
      </c>
    </row>
    <row r="53" ht="15.75" customHeight="1">
      <c r="A53" s="12"/>
      <c r="B53" s="12" t="s">
        <v>59</v>
      </c>
      <c r="C53" s="13"/>
      <c r="D53" s="12">
        <v>410.13</v>
      </c>
    </row>
    <row r="54" ht="15.75" customHeight="1">
      <c r="A54" s="12"/>
      <c r="B54" s="12" t="s">
        <v>60</v>
      </c>
      <c r="C54" s="13"/>
      <c r="D54" s="12">
        <f>9.96+48</f>
        <v>57.96</v>
      </c>
    </row>
    <row r="55" ht="15.75" customHeight="1">
      <c r="A55" s="12" t="s">
        <v>61</v>
      </c>
      <c r="B55" s="12" t="s">
        <v>62</v>
      </c>
      <c r="C55" s="13"/>
      <c r="D55" s="12">
        <v>149.97</v>
      </c>
    </row>
    <row r="56">
      <c r="A56" s="18" t="s">
        <v>40</v>
      </c>
      <c r="B56" s="18" t="s">
        <v>63</v>
      </c>
      <c r="C56" s="13">
        <v>75.0</v>
      </c>
      <c r="D56" s="12">
        <v>0.0</v>
      </c>
    </row>
    <row r="57">
      <c r="A57" s="18" t="s">
        <v>45</v>
      </c>
      <c r="B57" s="18" t="s">
        <v>64</v>
      </c>
      <c r="C57" s="13">
        <v>243.0</v>
      </c>
      <c r="D57" s="13">
        <v>243.0</v>
      </c>
    </row>
    <row r="58">
      <c r="A58" s="18" t="s">
        <v>40</v>
      </c>
      <c r="B58" s="18" t="s">
        <v>65</v>
      </c>
      <c r="C58" s="13">
        <v>100.0</v>
      </c>
      <c r="D58" s="12">
        <v>0.0</v>
      </c>
    </row>
    <row r="59">
      <c r="A59" s="3"/>
      <c r="B59" s="18" t="s">
        <v>66</v>
      </c>
      <c r="C59" s="13">
        <v>43.0</v>
      </c>
      <c r="D59" s="12">
        <v>53.0</v>
      </c>
    </row>
    <row r="60">
      <c r="A60" s="18" t="s">
        <v>40</v>
      </c>
      <c r="B60" s="18" t="s">
        <v>67</v>
      </c>
      <c r="C60" s="13">
        <v>20.0</v>
      </c>
      <c r="D60" s="12">
        <v>0.0</v>
      </c>
    </row>
    <row r="61">
      <c r="A61" s="18" t="s">
        <v>45</v>
      </c>
      <c r="B61" s="18" t="s">
        <v>68</v>
      </c>
      <c r="C61" s="13">
        <v>200.0</v>
      </c>
      <c r="D61" s="12">
        <v>0.0</v>
      </c>
    </row>
    <row r="62">
      <c r="A62" s="18"/>
      <c r="B62" s="18" t="s">
        <v>69</v>
      </c>
      <c r="C62" s="13">
        <v>0.0</v>
      </c>
      <c r="D62" s="12">
        <v>0.0</v>
      </c>
    </row>
    <row r="63" ht="15.75" customHeight="1">
      <c r="A63" s="3"/>
      <c r="B63" s="3" t="s">
        <v>70</v>
      </c>
      <c r="C63" s="14">
        <f t="shared" ref="C63:D63" si="2">SUM(C36:C62)</f>
        <v>5304</v>
      </c>
      <c r="D63" s="14">
        <f t="shared" si="2"/>
        <v>5971.37</v>
      </c>
    </row>
    <row r="64" ht="15.75" customHeight="1">
      <c r="A64" s="3"/>
      <c r="B64" s="3"/>
      <c r="C64" s="14"/>
      <c r="D64" s="14"/>
    </row>
    <row r="65" ht="15.75" customHeight="1">
      <c r="A65" s="3"/>
      <c r="B65" s="3"/>
      <c r="C65" s="14"/>
    </row>
    <row r="66" ht="15.75" customHeight="1">
      <c r="C66" s="8"/>
    </row>
    <row r="67" ht="15.75" customHeight="1">
      <c r="C67" s="8"/>
    </row>
    <row r="68" ht="15.75" customHeight="1">
      <c r="C68" s="8"/>
    </row>
    <row r="69" ht="15.75" customHeight="1">
      <c r="A69" s="4"/>
      <c r="B69" s="4" t="s">
        <v>71</v>
      </c>
      <c r="C69" s="11">
        <f t="shared" ref="C69:D69" si="3">SUM(C33-C63)</f>
        <v>1243.41</v>
      </c>
      <c r="D69" s="11">
        <f t="shared" si="3"/>
        <v>4858.15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C70" s="8"/>
    </row>
    <row r="71" ht="15.75" customHeight="1">
      <c r="C71" s="8"/>
    </row>
    <row r="72" ht="15.75" customHeight="1">
      <c r="C72" s="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2">
    <mergeCell ref="B2:E2"/>
    <mergeCell ref="B3:E3"/>
  </mergeCells>
  <printOptions horizontalCentered="1"/>
  <pageMargins bottom="0.75" footer="0.0" header="0.0" left="0.25" right="0.25" top="0.75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7.63"/>
    <col customWidth="1" min="2" max="6" width="12.63"/>
  </cols>
  <sheetData>
    <row r="1" ht="15.75" customHeight="1">
      <c r="A1" s="19" t="s">
        <v>72</v>
      </c>
      <c r="B1" s="19" t="s">
        <v>73</v>
      </c>
      <c r="C1" s="19" t="s">
        <v>74</v>
      </c>
      <c r="D1" s="19" t="s">
        <v>75</v>
      </c>
      <c r="E1" s="19" t="s">
        <v>76</v>
      </c>
      <c r="F1" s="19" t="s">
        <v>77</v>
      </c>
      <c r="G1" s="19" t="s">
        <v>78</v>
      </c>
      <c r="H1" s="19" t="s">
        <v>79</v>
      </c>
      <c r="I1" s="19" t="s">
        <v>80</v>
      </c>
      <c r="J1" s="19" t="s">
        <v>81</v>
      </c>
      <c r="K1" s="19" t="s">
        <v>82</v>
      </c>
      <c r="L1" s="19" t="s">
        <v>83</v>
      </c>
      <c r="M1" s="19" t="s">
        <v>84</v>
      </c>
      <c r="N1" s="19" t="s">
        <v>85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5.75" customHeight="1">
      <c r="A2" s="20" t="s">
        <v>86</v>
      </c>
      <c r="B2" s="20">
        <f>SUM(B4:B6)</f>
        <v>0</v>
      </c>
      <c r="C2" s="20">
        <f>sum(C3:C6)</f>
        <v>34556.01</v>
      </c>
      <c r="D2" s="20">
        <f t="shared" ref="D2:F2" si="1">SUM(D4:D12)</f>
        <v>0</v>
      </c>
      <c r="E2" s="20">
        <f t="shared" si="1"/>
        <v>0</v>
      </c>
      <c r="F2" s="20">
        <f t="shared" si="1"/>
        <v>0</v>
      </c>
      <c r="G2" s="20">
        <f>F13</f>
        <v>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21" t="s">
        <v>87</v>
      </c>
      <c r="B3" s="21"/>
      <c r="C3" s="21">
        <v>23406.01</v>
      </c>
      <c r="D3" s="21"/>
      <c r="E3" s="21">
        <v>0.0</v>
      </c>
      <c r="F3" s="21">
        <v>0.0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ht="15.75" customHeight="1">
      <c r="A4" s="21" t="s">
        <v>88</v>
      </c>
      <c r="B4" s="21">
        <v>0.0</v>
      </c>
      <c r="C4" s="21">
        <v>500.0</v>
      </c>
      <c r="D4" s="21">
        <v>0.0</v>
      </c>
      <c r="E4" s="21">
        <v>0.0</v>
      </c>
      <c r="F4" s="21">
        <v>0.0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ht="15.75" customHeight="1">
      <c r="A5" s="21" t="s">
        <v>89</v>
      </c>
      <c r="B5" s="21">
        <v>0.0</v>
      </c>
      <c r="C5" s="21">
        <v>250.0</v>
      </c>
      <c r="D5" s="21">
        <v>0.0</v>
      </c>
      <c r="E5" s="21">
        <v>0.0</v>
      </c>
      <c r="F5" s="21">
        <v>0.0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15.75" customHeight="1">
      <c r="A6" s="21" t="s">
        <v>90</v>
      </c>
      <c r="B6" s="21">
        <v>0.0</v>
      </c>
      <c r="C6" s="21">
        <v>10400.0</v>
      </c>
      <c r="D6" s="21">
        <v>0.0</v>
      </c>
      <c r="E6" s="21">
        <v>0.0</v>
      </c>
      <c r="F6" s="21">
        <v>0.0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15.75" customHeight="1">
      <c r="A7" s="22" t="s">
        <v>91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21" t="s">
        <v>92</v>
      </c>
      <c r="B8" s="21"/>
      <c r="C8" s="21">
        <v>25000.0</v>
      </c>
      <c r="D8" s="21"/>
      <c r="E8" s="21">
        <v>0.0</v>
      </c>
      <c r="F8" s="21">
        <v>0.0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15.75" customHeight="1">
      <c r="A9" s="21" t="s">
        <v>93</v>
      </c>
      <c r="B9" s="21"/>
      <c r="C9" s="21">
        <v>500.0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5.75" customHeight="1">
      <c r="A10" s="21" t="s">
        <v>94</v>
      </c>
      <c r="B10" s="21"/>
      <c r="C10" s="21">
        <v>0.0</v>
      </c>
      <c r="D10" s="21">
        <v>0.0</v>
      </c>
      <c r="E10" s="21">
        <v>0.0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5.75" customHeight="1">
      <c r="A11" s="21" t="s">
        <v>95</v>
      </c>
      <c r="B11" s="21"/>
      <c r="C11" s="21">
        <v>0.0</v>
      </c>
      <c r="D11" s="21">
        <v>0.0</v>
      </c>
      <c r="E11" s="21">
        <v>0.0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15.75" customHeight="1">
      <c r="A12" s="21" t="s">
        <v>96</v>
      </c>
      <c r="B12" s="21"/>
      <c r="C12" s="21">
        <v>0.0</v>
      </c>
      <c r="D12" s="21">
        <v>0.0</v>
      </c>
      <c r="E12" s="21">
        <v>0.0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15.75" customHeight="1">
      <c r="A13" s="20" t="s">
        <v>97</v>
      </c>
      <c r="B13" s="20">
        <f t="shared" ref="B13:F13" si="2">B2</f>
        <v>0</v>
      </c>
      <c r="C13" s="20">
        <f t="shared" si="2"/>
        <v>34556.01</v>
      </c>
      <c r="D13" s="20">
        <f t="shared" si="2"/>
        <v>0</v>
      </c>
      <c r="E13" s="20">
        <f t="shared" si="2"/>
        <v>0</v>
      </c>
      <c r="F13" s="20">
        <f t="shared" si="2"/>
        <v>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0.0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20" t="s">
        <v>98</v>
      </c>
      <c r="B14" s="20">
        <v>0.0</v>
      </c>
      <c r="C14" s="20">
        <f>sum(C16:C86)</f>
        <v>847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f t="shared" ref="I14:M14" si="3">sum(I16:I86)</f>
        <v>0</v>
      </c>
      <c r="J14" s="20">
        <f t="shared" si="3"/>
        <v>0</v>
      </c>
      <c r="K14" s="20">
        <f t="shared" si="3"/>
        <v>0</v>
      </c>
      <c r="L14" s="20">
        <f t="shared" si="3"/>
        <v>0</v>
      </c>
      <c r="M14" s="20">
        <f t="shared" si="3"/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7" t="s">
        <v>99</v>
      </c>
      <c r="B15" s="7">
        <f t="shared" ref="B15:M15" si="4">sum(B13-B14)</f>
        <v>0</v>
      </c>
      <c r="C15" s="7">
        <f t="shared" si="4"/>
        <v>33709.01</v>
      </c>
      <c r="D15" s="7">
        <f t="shared" si="4"/>
        <v>0</v>
      </c>
      <c r="E15" s="7">
        <f t="shared" si="4"/>
        <v>0</v>
      </c>
      <c r="F15" s="7">
        <f t="shared" si="4"/>
        <v>0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20"/>
    </row>
    <row r="16" ht="15.75" customHeight="1">
      <c r="A16" s="23" t="s">
        <v>100</v>
      </c>
      <c r="B16" s="23"/>
      <c r="C16" s="23">
        <v>847.0</v>
      </c>
      <c r="D16" s="23"/>
      <c r="E16" s="23">
        <v>0.0</v>
      </c>
      <c r="F16" s="23"/>
      <c r="G16" s="23"/>
      <c r="H16" s="23"/>
      <c r="I16" s="23"/>
      <c r="J16" s="23"/>
      <c r="K16" s="23"/>
      <c r="L16" s="23"/>
      <c r="M16" s="23"/>
      <c r="N16" s="23">
        <f>sum(B16:M16)</f>
        <v>847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0"/>
    </row>
    <row r="18" ht="15.75" customHeight="1">
      <c r="A18" s="23" t="s">
        <v>101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0">
        <f t="shared" ref="N18:N20" si="5">sum(B18:M18)</f>
        <v>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7" t="s">
        <v>102</v>
      </c>
      <c r="B19" s="7">
        <v>0.0</v>
      </c>
      <c r="C19" s="7">
        <v>0.0</v>
      </c>
      <c r="D19" s="7">
        <v>0.0</v>
      </c>
      <c r="N19" s="20">
        <f t="shared" si="5"/>
        <v>0</v>
      </c>
    </row>
    <row r="20" ht="15.75" customHeight="1">
      <c r="A20" s="23" t="s">
        <v>103</v>
      </c>
      <c r="B20" s="23"/>
      <c r="C20" s="23"/>
      <c r="D20" s="24">
        <f>SUM(D8:D19)</f>
        <v>0</v>
      </c>
      <c r="E20" s="23"/>
      <c r="F20" s="23"/>
      <c r="G20" s="23"/>
      <c r="H20" s="23"/>
      <c r="I20" s="23"/>
      <c r="J20" s="23"/>
      <c r="K20" s="23"/>
      <c r="L20" s="23"/>
      <c r="M20" s="23"/>
      <c r="N20" s="20">
        <f t="shared" si="5"/>
        <v>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7" t="s">
        <v>104</v>
      </c>
      <c r="B21" s="7"/>
      <c r="C21" s="7"/>
      <c r="D21" s="7"/>
      <c r="E21" s="7">
        <f>' liability expenses'!P20</f>
        <v>0</v>
      </c>
      <c r="F21" s="7"/>
      <c r="G21" s="7"/>
      <c r="H21" s="7"/>
      <c r="I21" s="7"/>
      <c r="J21" s="7"/>
      <c r="K21" s="7"/>
      <c r="L21" s="7"/>
      <c r="M21" s="7"/>
      <c r="N21" s="20"/>
    </row>
    <row r="22" ht="15.75" customHeight="1">
      <c r="A22" s="7" t="s">
        <v>105</v>
      </c>
      <c r="B22" s="7">
        <v>0.0</v>
      </c>
      <c r="C22" s="7"/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20">
        <f>sum(B22:M22)</f>
        <v>0</v>
      </c>
    </row>
    <row r="23" ht="15.75" customHeight="1">
      <c r="A23" s="7" t="s">
        <v>106</v>
      </c>
      <c r="B23" s="7"/>
      <c r="C23" s="7">
        <v>0.0</v>
      </c>
      <c r="D23" s="7">
        <v>0.0</v>
      </c>
      <c r="E23" s="7">
        <v>0.0</v>
      </c>
      <c r="F23" s="7">
        <v>0.0</v>
      </c>
      <c r="G23" s="7"/>
      <c r="H23" s="7"/>
      <c r="I23" s="7"/>
      <c r="J23" s="7"/>
      <c r="K23" s="7"/>
      <c r="L23" s="7"/>
      <c r="M23" s="7"/>
      <c r="N23" s="20"/>
    </row>
    <row r="24" ht="15.75" customHeight="1">
      <c r="B24" s="7"/>
      <c r="C24" s="7"/>
      <c r="E24" s="7"/>
      <c r="F24" s="7"/>
      <c r="G24" s="7"/>
      <c r="H24" s="7"/>
      <c r="I24" s="7"/>
      <c r="J24" s="7"/>
      <c r="K24" s="7"/>
      <c r="L24" s="7"/>
      <c r="M24" s="7"/>
      <c r="N24" s="20"/>
    </row>
    <row r="25" ht="15.75" customHeight="1">
      <c r="A25" s="25" t="s">
        <v>107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0">
        <f t="shared" ref="N25:N39" si="6">sum(B25:M25)</f>
        <v>0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7" t="s">
        <v>108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N26" s="20">
        <f t="shared" si="6"/>
        <v>0</v>
      </c>
    </row>
    <row r="27" ht="15.75" customHeight="1">
      <c r="A27" s="7" t="s">
        <v>109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N27" s="20">
        <f t="shared" si="6"/>
        <v>0</v>
      </c>
    </row>
    <row r="28" ht="15.75" customHeight="1">
      <c r="A28" s="7" t="s">
        <v>110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N28" s="20">
        <f t="shared" si="6"/>
        <v>0</v>
      </c>
    </row>
    <row r="29" ht="15.75" customHeight="1">
      <c r="A29" s="7" t="s">
        <v>111</v>
      </c>
      <c r="B29" s="7">
        <v>0.0</v>
      </c>
      <c r="C29" s="7">
        <v>0.0</v>
      </c>
      <c r="D29" s="7">
        <v>0.0</v>
      </c>
      <c r="E29" s="7" t="s">
        <v>112</v>
      </c>
      <c r="F29" s="7">
        <v>0.0</v>
      </c>
      <c r="N29" s="20">
        <f t="shared" si="6"/>
        <v>0</v>
      </c>
    </row>
    <row r="30" ht="15.75" customHeight="1">
      <c r="A30" s="20" t="s">
        <v>113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>
        <f t="shared" si="6"/>
        <v>0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7" t="s">
        <v>114</v>
      </c>
      <c r="B31" s="7">
        <v>0.0</v>
      </c>
      <c r="C31" s="7">
        <v>0.0</v>
      </c>
      <c r="D31" s="7"/>
      <c r="E31" s="7">
        <v>0.0</v>
      </c>
      <c r="F31" s="7">
        <v>0.0</v>
      </c>
      <c r="N31" s="20">
        <f t="shared" si="6"/>
        <v>0</v>
      </c>
    </row>
    <row r="32" ht="15.75" customHeight="1">
      <c r="A32" s="7" t="s">
        <v>115</v>
      </c>
      <c r="B32" s="7">
        <v>0.0</v>
      </c>
      <c r="C32" s="7">
        <v>0.0</v>
      </c>
      <c r="D32" s="7">
        <v>0.0</v>
      </c>
      <c r="E32" s="7">
        <v>0.0</v>
      </c>
      <c r="F32" s="7">
        <v>0.0</v>
      </c>
      <c r="N32" s="20">
        <f t="shared" si="6"/>
        <v>0</v>
      </c>
    </row>
    <row r="33" ht="15.75" customHeight="1">
      <c r="A33" s="7" t="s">
        <v>116</v>
      </c>
      <c r="B33" s="7">
        <v>0.0</v>
      </c>
      <c r="C33" s="7">
        <v>0.0</v>
      </c>
      <c r="D33" s="7"/>
      <c r="E33" s="7">
        <v>0.0</v>
      </c>
      <c r="F33" s="7">
        <v>0.0</v>
      </c>
      <c r="N33" s="20">
        <f t="shared" si="6"/>
        <v>0</v>
      </c>
    </row>
    <row r="34" ht="15.75" customHeight="1">
      <c r="A34" s="7" t="s">
        <v>117</v>
      </c>
      <c r="B34" s="7">
        <v>0.0</v>
      </c>
      <c r="C34" s="7">
        <v>0.0</v>
      </c>
      <c r="D34" s="7"/>
      <c r="E34" s="7">
        <v>0.0</v>
      </c>
      <c r="F34" s="7">
        <v>0.0</v>
      </c>
      <c r="N34" s="20">
        <f t="shared" si="6"/>
        <v>0</v>
      </c>
    </row>
    <row r="35" ht="15.75" customHeight="1">
      <c r="A35" s="7" t="s">
        <v>118</v>
      </c>
      <c r="B35" s="7">
        <v>0.0</v>
      </c>
      <c r="C35" s="7">
        <v>0.0</v>
      </c>
      <c r="D35" s="7">
        <v>0.0</v>
      </c>
      <c r="E35" s="7">
        <v>0.0</v>
      </c>
      <c r="F35" s="7">
        <v>0.0</v>
      </c>
      <c r="N35" s="20">
        <f t="shared" si="6"/>
        <v>0</v>
      </c>
    </row>
    <row r="36" ht="15.75" customHeight="1">
      <c r="A36" s="26" t="s">
        <v>119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0">
        <f t="shared" si="6"/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7" t="s">
        <v>120</v>
      </c>
      <c r="B37" s="7">
        <v>0.0</v>
      </c>
      <c r="C37" s="7">
        <v>0.0</v>
      </c>
      <c r="D37" s="7"/>
      <c r="E37" s="7">
        <v>0.0</v>
      </c>
      <c r="F37" s="7">
        <v>0.0</v>
      </c>
      <c r="H37" s="7">
        <v>0.0</v>
      </c>
      <c r="N37" s="20">
        <f t="shared" si="6"/>
        <v>0</v>
      </c>
    </row>
    <row r="38" ht="15.75" customHeight="1">
      <c r="A38" s="7" t="s">
        <v>121</v>
      </c>
      <c r="B38" s="7"/>
      <c r="C38" s="7"/>
      <c r="D38" s="7"/>
      <c r="E38" s="7">
        <v>0.0</v>
      </c>
      <c r="F38" s="7">
        <v>0.0</v>
      </c>
      <c r="G38" s="7">
        <v>0.0</v>
      </c>
      <c r="H38" s="7">
        <v>0.0</v>
      </c>
      <c r="N38" s="20">
        <f t="shared" si="6"/>
        <v>0</v>
      </c>
    </row>
    <row r="39" ht="15.75" customHeight="1">
      <c r="A39" s="7" t="s">
        <v>122</v>
      </c>
      <c r="B39" s="7">
        <v>0.0</v>
      </c>
      <c r="C39" s="7">
        <v>0.0</v>
      </c>
      <c r="D39" s="7">
        <v>0.0</v>
      </c>
      <c r="E39" s="7">
        <v>0.0</v>
      </c>
      <c r="F39" s="7">
        <v>0.0</v>
      </c>
      <c r="H39" s="7">
        <v>0.0</v>
      </c>
      <c r="N39" s="20">
        <f t="shared" si="6"/>
        <v>0</v>
      </c>
    </row>
    <row r="40" ht="15.75" customHeight="1">
      <c r="A40" s="7" t="s">
        <v>123</v>
      </c>
      <c r="B40" s="7"/>
      <c r="C40" s="7"/>
      <c r="D40" s="7"/>
      <c r="E40" s="7"/>
      <c r="F40" s="7"/>
      <c r="H40" s="7"/>
      <c r="N40" s="20"/>
    </row>
    <row r="41" ht="15.75" customHeight="1">
      <c r="A41" s="7" t="s">
        <v>124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H41" s="7">
        <v>0.0</v>
      </c>
      <c r="N41" s="20">
        <f>sum(B41:M41)</f>
        <v>0</v>
      </c>
    </row>
    <row r="42" ht="15.75" customHeight="1">
      <c r="A42" s="7" t="s">
        <v>125</v>
      </c>
      <c r="B42" s="7"/>
      <c r="C42" s="7"/>
      <c r="D42" s="7"/>
      <c r="E42" s="7"/>
      <c r="F42" s="7"/>
      <c r="N42" s="20"/>
    </row>
    <row r="43" ht="15.75" customHeight="1">
      <c r="A43" s="26" t="s">
        <v>126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0">
        <f t="shared" ref="N43:N85" si="7">sum(B43:M43)</f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7" t="s">
        <v>127</v>
      </c>
      <c r="C44" s="7">
        <v>0.0</v>
      </c>
      <c r="D44" s="7">
        <v>0.0</v>
      </c>
      <c r="E44" s="7">
        <v>0.0</v>
      </c>
      <c r="F44" s="7">
        <v>0.0</v>
      </c>
      <c r="N44" s="20">
        <f t="shared" si="7"/>
        <v>0</v>
      </c>
    </row>
    <row r="45" ht="15.75" customHeight="1">
      <c r="A45" s="26" t="s">
        <v>128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0">
        <f t="shared" si="7"/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7" t="s">
        <v>129</v>
      </c>
      <c r="B46" s="7">
        <v>0.0</v>
      </c>
      <c r="C46" s="7">
        <v>0.0</v>
      </c>
      <c r="D46" s="7"/>
      <c r="E46" s="7">
        <v>0.0</v>
      </c>
      <c r="F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20">
        <f t="shared" si="7"/>
        <v>0</v>
      </c>
    </row>
    <row r="47" ht="15.75" customHeight="1">
      <c r="A47" s="26" t="s">
        <v>130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0">
        <f t="shared" si="7"/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7" t="s">
        <v>131</v>
      </c>
      <c r="B48" s="7">
        <v>0.0</v>
      </c>
      <c r="C48" s="7">
        <v>0.0</v>
      </c>
      <c r="D48" s="7"/>
      <c r="E48" s="7">
        <v>0.0</v>
      </c>
      <c r="F48" s="7">
        <v>0.0</v>
      </c>
      <c r="N48" s="20">
        <f t="shared" si="7"/>
        <v>0</v>
      </c>
    </row>
    <row r="49" ht="15.75" customHeight="1">
      <c r="A49" s="26" t="s">
        <v>132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0">
        <f t="shared" si="7"/>
        <v>0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7" t="s">
        <v>133</v>
      </c>
      <c r="B50" s="7">
        <v>0.0</v>
      </c>
      <c r="C50" s="7">
        <v>0.0</v>
      </c>
      <c r="D50" s="7">
        <v>0.0</v>
      </c>
      <c r="E50" s="7">
        <v>0.0</v>
      </c>
      <c r="F50" s="7">
        <v>0.0</v>
      </c>
      <c r="N50" s="20">
        <f t="shared" si="7"/>
        <v>0</v>
      </c>
    </row>
    <row r="51" ht="15.75" customHeight="1">
      <c r="A51" s="26" t="s">
        <v>134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0">
        <f t="shared" si="7"/>
        <v>0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7" t="s">
        <v>135</v>
      </c>
      <c r="B52" s="7">
        <v>0.0</v>
      </c>
      <c r="C52" s="7">
        <v>0.0</v>
      </c>
      <c r="D52" s="7"/>
      <c r="E52" s="7">
        <v>0.0</v>
      </c>
      <c r="F52" s="7">
        <v>0.0</v>
      </c>
      <c r="N52" s="20">
        <f t="shared" si="7"/>
        <v>0</v>
      </c>
    </row>
    <row r="53" ht="15.75" customHeight="1">
      <c r="A53" s="23" t="s">
        <v>136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0">
        <f t="shared" si="7"/>
        <v>0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7" t="s">
        <v>137</v>
      </c>
      <c r="B54" s="7">
        <v>0.0</v>
      </c>
      <c r="C54" s="7">
        <v>0.0</v>
      </c>
      <c r="D54" s="7">
        <v>0.0</v>
      </c>
      <c r="E54" s="7">
        <v>0.0</v>
      </c>
      <c r="F54" s="7">
        <v>0.0</v>
      </c>
      <c r="N54" s="20">
        <f t="shared" si="7"/>
        <v>0</v>
      </c>
    </row>
    <row r="55" ht="15.75" customHeight="1">
      <c r="A55" s="25" t="s">
        <v>138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>
        <f t="shared" si="7"/>
        <v>0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7" t="s">
        <v>139</v>
      </c>
      <c r="B56" s="7">
        <v>0.0</v>
      </c>
      <c r="C56" s="7">
        <v>0.0</v>
      </c>
      <c r="D56" s="7">
        <v>0.0</v>
      </c>
      <c r="E56" s="7">
        <v>0.0</v>
      </c>
      <c r="F56" s="7">
        <v>0.0</v>
      </c>
      <c r="N56" s="20">
        <f t="shared" si="7"/>
        <v>0</v>
      </c>
    </row>
    <row r="57" ht="15.75" customHeight="1">
      <c r="A57" s="26" t="s">
        <v>140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>
        <f t="shared" si="7"/>
        <v>0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7" t="s">
        <v>141</v>
      </c>
      <c r="B58" s="7">
        <v>0.0</v>
      </c>
      <c r="C58" s="7">
        <v>0.0</v>
      </c>
      <c r="D58" s="7">
        <v>0.0</v>
      </c>
      <c r="E58" s="7">
        <v>0.0</v>
      </c>
      <c r="F58" s="7">
        <v>0.0</v>
      </c>
      <c r="N58" s="20">
        <f t="shared" si="7"/>
        <v>0</v>
      </c>
    </row>
    <row r="59" ht="15.75" customHeight="1">
      <c r="A59" s="7" t="s">
        <v>142</v>
      </c>
      <c r="B59" s="7">
        <v>0.0</v>
      </c>
      <c r="C59" s="7">
        <v>0.0</v>
      </c>
      <c r="D59" s="7"/>
      <c r="E59" s="7">
        <v>0.0</v>
      </c>
      <c r="F59" s="7">
        <v>0.0</v>
      </c>
      <c r="N59" s="20">
        <f t="shared" si="7"/>
        <v>0</v>
      </c>
    </row>
    <row r="60" ht="15.75" customHeight="1">
      <c r="A60" s="26" t="s">
        <v>143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>
        <f t="shared" si="7"/>
        <v>0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7" t="s">
        <v>144</v>
      </c>
      <c r="C61" s="7">
        <v>0.0</v>
      </c>
      <c r="N61" s="20">
        <f t="shared" si="7"/>
        <v>0</v>
      </c>
    </row>
    <row r="62" ht="15.75" customHeight="1">
      <c r="A62" s="23" t="s">
        <v>68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>
        <f t="shared" si="7"/>
        <v>0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7" t="s">
        <v>145</v>
      </c>
      <c r="D63" s="7">
        <v>355.0</v>
      </c>
      <c r="E63" s="7">
        <v>355.0</v>
      </c>
      <c r="F63" s="7">
        <v>355.0</v>
      </c>
      <c r="G63" s="7">
        <v>0.0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0.0</v>
      </c>
      <c r="N63" s="20">
        <f t="shared" si="7"/>
        <v>1065</v>
      </c>
      <c r="O63" s="27">
        <v>72720.0</v>
      </c>
      <c r="P63" s="7" t="s">
        <v>146</v>
      </c>
    </row>
    <row r="64" ht="15.75" customHeight="1">
      <c r="A64" s="7" t="s">
        <v>147</v>
      </c>
      <c r="E64" s="7">
        <v>0.0</v>
      </c>
      <c r="F64" s="7">
        <v>500.0</v>
      </c>
      <c r="G64" s="7">
        <v>0.0</v>
      </c>
      <c r="H64" s="7">
        <v>0.0</v>
      </c>
      <c r="I64" s="7">
        <v>0.0</v>
      </c>
      <c r="J64" s="7">
        <v>0.0</v>
      </c>
      <c r="K64" s="7">
        <v>0.0</v>
      </c>
      <c r="L64" s="7">
        <v>0.0</v>
      </c>
      <c r="M64" s="7">
        <v>0.0</v>
      </c>
      <c r="N64" s="20">
        <f t="shared" si="7"/>
        <v>500</v>
      </c>
      <c r="O64" s="7">
        <v>10000.0</v>
      </c>
      <c r="P64" s="7" t="s">
        <v>148</v>
      </c>
    </row>
    <row r="65" ht="15.75" customHeight="1">
      <c r="A65" s="7" t="s">
        <v>149</v>
      </c>
      <c r="N65" s="20">
        <f t="shared" si="7"/>
        <v>0</v>
      </c>
      <c r="O65" s="28">
        <v>3362.81</v>
      </c>
      <c r="P65" s="7" t="s">
        <v>150</v>
      </c>
    </row>
    <row r="66" ht="15.75" customHeight="1">
      <c r="N66" s="20">
        <f t="shared" si="7"/>
        <v>0</v>
      </c>
    </row>
    <row r="67" ht="15.75" customHeight="1">
      <c r="N67" s="20">
        <f t="shared" si="7"/>
        <v>0</v>
      </c>
    </row>
    <row r="68" ht="15.75" customHeight="1">
      <c r="N68" s="20">
        <f t="shared" si="7"/>
        <v>0</v>
      </c>
    </row>
    <row r="69" ht="15.75" customHeight="1">
      <c r="N69" s="20">
        <f t="shared" si="7"/>
        <v>0</v>
      </c>
    </row>
    <row r="70" ht="15.75" customHeight="1">
      <c r="N70" s="20">
        <f t="shared" si="7"/>
        <v>0</v>
      </c>
    </row>
    <row r="71" ht="15.75" customHeight="1">
      <c r="N71" s="20">
        <f t="shared" si="7"/>
        <v>0</v>
      </c>
    </row>
    <row r="72" ht="15.75" customHeight="1">
      <c r="N72" s="20">
        <f t="shared" si="7"/>
        <v>0</v>
      </c>
    </row>
    <row r="73" ht="15.75" customHeight="1">
      <c r="N73" s="20">
        <f t="shared" si="7"/>
        <v>0</v>
      </c>
    </row>
    <row r="74" ht="15.75" customHeight="1">
      <c r="N74" s="20">
        <f t="shared" si="7"/>
        <v>0</v>
      </c>
    </row>
    <row r="75" ht="15.75" customHeight="1">
      <c r="N75" s="20">
        <f t="shared" si="7"/>
        <v>0</v>
      </c>
    </row>
    <row r="76" ht="15.75" customHeight="1">
      <c r="N76" s="20">
        <f t="shared" si="7"/>
        <v>0</v>
      </c>
    </row>
    <row r="77" ht="15.75" customHeight="1">
      <c r="N77" s="20">
        <f t="shared" si="7"/>
        <v>0</v>
      </c>
    </row>
    <row r="78" ht="15.75" customHeight="1">
      <c r="N78" s="20">
        <f t="shared" si="7"/>
        <v>0</v>
      </c>
    </row>
    <row r="79" ht="15.75" customHeight="1">
      <c r="N79" s="20">
        <f t="shared" si="7"/>
        <v>0</v>
      </c>
    </row>
    <row r="80" ht="15.75" customHeight="1">
      <c r="N80" s="20">
        <f t="shared" si="7"/>
        <v>0</v>
      </c>
    </row>
    <row r="81" ht="15.75" customHeight="1">
      <c r="N81" s="20">
        <f t="shared" si="7"/>
        <v>0</v>
      </c>
    </row>
    <row r="82" ht="15.75" customHeight="1">
      <c r="N82" s="20">
        <f t="shared" si="7"/>
        <v>0</v>
      </c>
    </row>
    <row r="83" ht="15.75" customHeight="1">
      <c r="N83" s="20">
        <f t="shared" si="7"/>
        <v>0</v>
      </c>
    </row>
    <row r="84" ht="15.75" customHeight="1">
      <c r="N84" s="20">
        <f t="shared" si="7"/>
        <v>0</v>
      </c>
    </row>
    <row r="85" ht="15.75" customHeight="1">
      <c r="N85" s="20">
        <f t="shared" si="7"/>
        <v>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6" width="12.63"/>
  </cols>
  <sheetData>
    <row r="1" ht="15.75" customHeight="1">
      <c r="A1" s="29" t="s">
        <v>151</v>
      </c>
      <c r="B1" s="29" t="s">
        <v>152</v>
      </c>
      <c r="C1" s="29" t="s">
        <v>153</v>
      </c>
      <c r="D1" s="29" t="s">
        <v>154</v>
      </c>
      <c r="E1" s="29" t="s">
        <v>155</v>
      </c>
      <c r="F1" s="29" t="s">
        <v>156</v>
      </c>
      <c r="G1" s="29" t="s">
        <v>76</v>
      </c>
      <c r="H1" s="29" t="s">
        <v>77</v>
      </c>
      <c r="I1" s="29" t="s">
        <v>157</v>
      </c>
      <c r="J1" s="29" t="s">
        <v>158</v>
      </c>
      <c r="K1" s="29" t="s">
        <v>159</v>
      </c>
      <c r="L1" s="29" t="s">
        <v>81</v>
      </c>
      <c r="M1" s="29" t="s">
        <v>160</v>
      </c>
      <c r="N1" s="29" t="s">
        <v>83</v>
      </c>
      <c r="O1" s="29" t="s">
        <v>161</v>
      </c>
      <c r="P1" s="29" t="s">
        <v>162</v>
      </c>
    </row>
    <row r="2" ht="15.75" customHeight="1">
      <c r="A2" s="7" t="s">
        <v>163</v>
      </c>
      <c r="B2" s="7" t="s">
        <v>164</v>
      </c>
      <c r="D2" s="7"/>
      <c r="E2" s="7"/>
      <c r="G2" s="7"/>
      <c r="H2" s="7"/>
      <c r="I2" s="7"/>
      <c r="J2" s="7"/>
      <c r="K2" s="7"/>
      <c r="L2" s="7"/>
      <c r="M2" s="7"/>
      <c r="N2" s="7"/>
      <c r="O2" s="7"/>
      <c r="P2" s="7">
        <f t="shared" ref="P2:P5" si="1">SUM(B2:O2)</f>
        <v>0</v>
      </c>
    </row>
    <row r="3" ht="15.75" customHeight="1">
      <c r="A3" s="7" t="s">
        <v>165</v>
      </c>
      <c r="B3" s="7" t="s">
        <v>166</v>
      </c>
      <c r="D3" s="7"/>
      <c r="E3" s="7"/>
      <c r="G3" s="7"/>
      <c r="H3" s="7"/>
      <c r="I3" s="7"/>
      <c r="J3" s="7"/>
      <c r="K3" s="7"/>
      <c r="L3" s="7"/>
      <c r="M3" s="7"/>
      <c r="N3" s="7"/>
      <c r="O3" s="7"/>
      <c r="P3" s="7">
        <f t="shared" si="1"/>
        <v>0</v>
      </c>
    </row>
    <row r="4" ht="15.75" customHeight="1">
      <c r="A4" s="7" t="s">
        <v>167</v>
      </c>
      <c r="B4" s="7" t="s">
        <v>168</v>
      </c>
      <c r="D4" s="7"/>
      <c r="E4" s="7"/>
      <c r="G4" s="7"/>
      <c r="H4" s="7"/>
      <c r="I4" s="7"/>
      <c r="J4" s="7"/>
      <c r="K4" s="7"/>
      <c r="L4" s="7"/>
      <c r="M4" s="7"/>
      <c r="N4" s="7"/>
      <c r="O4" s="7"/>
      <c r="P4" s="7">
        <f t="shared" si="1"/>
        <v>0</v>
      </c>
    </row>
    <row r="5" ht="15.75" customHeight="1">
      <c r="A5" s="7" t="s">
        <v>169</v>
      </c>
      <c r="B5" s="7" t="s">
        <v>170</v>
      </c>
      <c r="D5" s="7"/>
      <c r="E5" s="7">
        <v>847.0</v>
      </c>
      <c r="H5" s="7"/>
      <c r="I5" s="7"/>
      <c r="J5" s="7"/>
      <c r="K5" s="7"/>
      <c r="L5" s="7"/>
      <c r="M5" s="7"/>
      <c r="N5" s="7"/>
      <c r="O5" s="7"/>
      <c r="P5" s="7">
        <f t="shared" si="1"/>
        <v>847</v>
      </c>
    </row>
    <row r="6" ht="15.75" customHeight="1">
      <c r="A6" s="7" t="s">
        <v>126</v>
      </c>
      <c r="B6" s="7" t="s">
        <v>127</v>
      </c>
      <c r="D6" s="7"/>
      <c r="E6" s="7"/>
      <c r="I6" s="7"/>
      <c r="J6" s="7"/>
      <c r="K6" s="7"/>
      <c r="L6" s="7"/>
      <c r="M6" s="7"/>
      <c r="N6" s="7"/>
      <c r="O6" s="7"/>
      <c r="P6" s="7">
        <v>410.0</v>
      </c>
    </row>
    <row r="7" ht="15.75" customHeight="1">
      <c r="A7" s="7" t="s">
        <v>171</v>
      </c>
      <c r="B7" s="7" t="s">
        <v>172</v>
      </c>
      <c r="D7" s="7"/>
      <c r="E7" s="7"/>
      <c r="H7" s="7"/>
      <c r="I7" s="7"/>
      <c r="J7" s="7"/>
      <c r="K7" s="7"/>
      <c r="L7" s="7"/>
      <c r="M7" s="7"/>
      <c r="N7" s="7"/>
      <c r="O7" s="7"/>
      <c r="P7" s="7">
        <f t="shared" ref="P7:P13" si="2">SUM(B7:O7)</f>
        <v>0</v>
      </c>
    </row>
    <row r="8" ht="15.75" customHeight="1">
      <c r="A8" s="7" t="s">
        <v>173</v>
      </c>
      <c r="B8" s="7" t="s">
        <v>174</v>
      </c>
      <c r="E8" s="7">
        <v>1041.0</v>
      </c>
      <c r="P8" s="7">
        <f t="shared" si="2"/>
        <v>1041</v>
      </c>
    </row>
    <row r="9" ht="15.75" customHeight="1">
      <c r="A9" s="7" t="s">
        <v>175</v>
      </c>
      <c r="B9" s="7" t="s">
        <v>176</v>
      </c>
      <c r="D9" s="7">
        <v>0.0</v>
      </c>
      <c r="P9" s="7">
        <f t="shared" si="2"/>
        <v>0</v>
      </c>
    </row>
    <row r="10" ht="15.75" customHeight="1">
      <c r="A10" s="7" t="s">
        <v>137</v>
      </c>
      <c r="B10" s="7" t="s">
        <v>136</v>
      </c>
      <c r="D10" s="7">
        <v>0.0</v>
      </c>
      <c r="P10" s="7">
        <f t="shared" si="2"/>
        <v>0</v>
      </c>
    </row>
    <row r="11" ht="15.75" customHeight="1">
      <c r="P11" s="7">
        <f t="shared" si="2"/>
        <v>0</v>
      </c>
    </row>
    <row r="12" ht="15.75" customHeight="1">
      <c r="P12" s="7">
        <f t="shared" si="2"/>
        <v>0</v>
      </c>
    </row>
    <row r="13" ht="15.75" customHeight="1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>
        <f t="shared" si="2"/>
        <v>0</v>
      </c>
    </row>
    <row r="14" ht="15.75" customHeight="1">
      <c r="A14" s="24"/>
      <c r="B14" s="24"/>
      <c r="C14" s="24"/>
      <c r="D14" s="24">
        <f t="shared" ref="D14:P14" si="3">SUM(D2:D13)</f>
        <v>0</v>
      </c>
      <c r="E14" s="24">
        <f t="shared" si="3"/>
        <v>1888</v>
      </c>
      <c r="F14" s="24">
        <f t="shared" si="3"/>
        <v>0</v>
      </c>
      <c r="G14" s="24">
        <f t="shared" si="3"/>
        <v>0</v>
      </c>
      <c r="H14" s="24">
        <f t="shared" si="3"/>
        <v>0</v>
      </c>
      <c r="I14" s="24">
        <f t="shared" si="3"/>
        <v>0</v>
      </c>
      <c r="J14" s="24">
        <f t="shared" si="3"/>
        <v>0</v>
      </c>
      <c r="K14" s="24">
        <f t="shared" si="3"/>
        <v>0</v>
      </c>
      <c r="L14" s="24">
        <f t="shared" si="3"/>
        <v>0</v>
      </c>
      <c r="M14" s="24">
        <f t="shared" si="3"/>
        <v>0</v>
      </c>
      <c r="N14" s="24">
        <f t="shared" si="3"/>
        <v>0</v>
      </c>
      <c r="O14" s="24">
        <f t="shared" si="3"/>
        <v>0</v>
      </c>
      <c r="P14" s="24">
        <f t="shared" si="3"/>
        <v>2298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 ht="15.75" customHeight="1"/>
    <row r="16" ht="15.75" customHeight="1">
      <c r="A16" s="29" t="s">
        <v>177</v>
      </c>
      <c r="B16" s="29" t="s">
        <v>178</v>
      </c>
      <c r="C16" s="29" t="s">
        <v>153</v>
      </c>
      <c r="D16" s="29" t="s">
        <v>154</v>
      </c>
      <c r="E16" s="29" t="s">
        <v>155</v>
      </c>
      <c r="F16" s="29" t="s">
        <v>156</v>
      </c>
      <c r="G16" s="29" t="s">
        <v>76</v>
      </c>
      <c r="H16" s="29" t="s">
        <v>77</v>
      </c>
      <c r="I16" s="29" t="s">
        <v>157</v>
      </c>
      <c r="J16" s="29" t="s">
        <v>158</v>
      </c>
      <c r="K16" s="29" t="s">
        <v>159</v>
      </c>
      <c r="L16" s="29" t="s">
        <v>81</v>
      </c>
      <c r="M16" s="29" t="s">
        <v>160</v>
      </c>
      <c r="N16" s="29" t="s">
        <v>83</v>
      </c>
      <c r="O16" s="29" t="s">
        <v>161</v>
      </c>
      <c r="P16" s="29" t="s">
        <v>162</v>
      </c>
    </row>
    <row r="17" ht="15.75" customHeight="1">
      <c r="A17" s="7" t="s">
        <v>179</v>
      </c>
      <c r="B17" s="7" t="s">
        <v>180</v>
      </c>
      <c r="P17" s="7">
        <f t="shared" ref="P17:P19" si="4">SUM(B17:O17)</f>
        <v>0</v>
      </c>
    </row>
    <row r="18" ht="15.75" customHeight="1">
      <c r="A18" s="7" t="s">
        <v>181</v>
      </c>
      <c r="B18" s="7" t="s">
        <v>182</v>
      </c>
      <c r="G18" s="7">
        <v>0.0</v>
      </c>
      <c r="P18" s="7">
        <f t="shared" si="4"/>
        <v>0</v>
      </c>
    </row>
    <row r="19" ht="15.75" customHeight="1">
      <c r="A19" s="7" t="s">
        <v>183</v>
      </c>
      <c r="B19" s="7" t="s">
        <v>180</v>
      </c>
      <c r="P19" s="7">
        <f t="shared" si="4"/>
        <v>0</v>
      </c>
    </row>
    <row r="20" ht="15.75" customHeight="1">
      <c r="A20" s="7" t="s">
        <v>1</v>
      </c>
      <c r="B20" s="7" t="s">
        <v>184</v>
      </c>
      <c r="D20" s="7">
        <v>1000.0</v>
      </c>
      <c r="P20" s="7">
        <v>0.0</v>
      </c>
    </row>
    <row r="21" ht="15.75" customHeight="1">
      <c r="A21" s="7" t="s">
        <v>185</v>
      </c>
      <c r="B21" s="7" t="s">
        <v>186</v>
      </c>
      <c r="D21" s="7">
        <v>750.0</v>
      </c>
      <c r="P21" s="7">
        <f>SUM(B21:O21)</f>
        <v>750</v>
      </c>
    </row>
    <row r="22" ht="15.75" customHeight="1">
      <c r="A22" s="30" t="s">
        <v>187</v>
      </c>
      <c r="B22" s="30" t="s">
        <v>188</v>
      </c>
      <c r="C22" s="30"/>
      <c r="D22" s="30">
        <v>2500.0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15.75" customHeight="1">
      <c r="A24" s="31"/>
      <c r="B24" s="31"/>
      <c r="C24" s="31"/>
      <c r="D24" s="31"/>
      <c r="E24" s="31"/>
      <c r="F24" s="31">
        <f t="shared" ref="F24:G24" si="5">SUM(F17:F21)</f>
        <v>0</v>
      </c>
      <c r="G24" s="31">
        <f t="shared" si="5"/>
        <v>0</v>
      </c>
      <c r="H24" s="31">
        <f>SUM(H17:H22)</f>
        <v>0</v>
      </c>
      <c r="I24" s="31"/>
      <c r="J24" s="31"/>
      <c r="K24" s="31"/>
      <c r="L24" s="31"/>
      <c r="M24" s="31"/>
      <c r="N24" s="31"/>
      <c r="O24" s="31"/>
      <c r="P24" s="31">
        <f>SUM(P17:P21)</f>
        <v>750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7.25"/>
    <col customWidth="1" min="3" max="3" width="11.25"/>
    <col customWidth="1" min="4" max="4" width="12.38"/>
    <col customWidth="1" min="5" max="5" width="10.63"/>
    <col customWidth="1" min="6" max="6" width="12.75"/>
    <col customWidth="1" min="7" max="7" width="10.88"/>
    <col customWidth="1" min="8" max="8" width="9.13"/>
    <col customWidth="1" min="9" max="10" width="10.13"/>
    <col customWidth="1" min="11" max="11" width="16.0"/>
    <col customWidth="1" min="12" max="12" width="9.88"/>
    <col customWidth="1" min="13" max="13" width="10.13"/>
    <col customWidth="1" min="14" max="14" width="9.38"/>
    <col customWidth="1" min="15" max="26" width="8.63"/>
  </cols>
  <sheetData>
    <row r="1" ht="14.25" customHeight="1">
      <c r="A1" s="7" t="s">
        <v>189</v>
      </c>
    </row>
    <row r="2" ht="14.25" customHeight="1"/>
    <row r="3" ht="14.25" customHeight="1">
      <c r="A3" s="32" t="s">
        <v>190</v>
      </c>
    </row>
    <row r="4" ht="14.25" customHeight="1"/>
    <row r="5" ht="14.25" customHeight="1">
      <c r="A5" s="7" t="s">
        <v>191</v>
      </c>
      <c r="B5" s="7" t="s">
        <v>192</v>
      </c>
      <c r="C5" s="7" t="s">
        <v>193</v>
      </c>
      <c r="D5" s="7" t="s">
        <v>194</v>
      </c>
      <c r="E5" s="7" t="s">
        <v>195</v>
      </c>
      <c r="F5" s="7" t="s">
        <v>196</v>
      </c>
      <c r="G5" s="7" t="s">
        <v>197</v>
      </c>
      <c r="H5" s="7" t="s">
        <v>198</v>
      </c>
      <c r="I5" s="7" t="s">
        <v>199</v>
      </c>
      <c r="J5" s="7" t="s">
        <v>200</v>
      </c>
      <c r="K5" s="7" t="s">
        <v>201</v>
      </c>
      <c r="L5" s="7" t="s">
        <v>202</v>
      </c>
      <c r="M5" s="7" t="s">
        <v>203</v>
      </c>
      <c r="N5" s="7" t="s">
        <v>204</v>
      </c>
    </row>
    <row r="6" ht="14.25" customHeight="1">
      <c r="E6" s="7" t="s">
        <v>205</v>
      </c>
      <c r="F6" s="7" t="s">
        <v>206</v>
      </c>
      <c r="H6" s="7" t="s">
        <v>207</v>
      </c>
      <c r="J6" s="7" t="s">
        <v>208</v>
      </c>
      <c r="K6" s="7" t="s">
        <v>209</v>
      </c>
      <c r="L6" s="7" t="s">
        <v>209</v>
      </c>
      <c r="M6" s="7" t="s">
        <v>210</v>
      </c>
      <c r="N6" s="7" t="s">
        <v>211</v>
      </c>
    </row>
    <row r="7" ht="14.25" customHeight="1"/>
    <row r="8" ht="69.0" customHeight="1">
      <c r="A8" s="33" t="s">
        <v>212</v>
      </c>
      <c r="B8" s="33" t="s">
        <v>213</v>
      </c>
      <c r="C8" s="33" t="s">
        <v>214</v>
      </c>
      <c r="D8" s="33" t="s">
        <v>215</v>
      </c>
      <c r="E8" s="33" t="s">
        <v>99</v>
      </c>
      <c r="F8" s="33" t="s">
        <v>216</v>
      </c>
      <c r="G8" s="33" t="s">
        <v>217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C9" s="34"/>
      <c r="D9" s="35"/>
      <c r="E9" s="36"/>
      <c r="F9" s="37"/>
      <c r="G9" s="38"/>
      <c r="H9" s="37"/>
      <c r="I9" s="39"/>
      <c r="M9" s="36"/>
    </row>
    <row r="10" ht="14.25" customHeight="1">
      <c r="A10" s="7">
        <v>1.0</v>
      </c>
      <c r="B10" s="7" t="s">
        <v>218</v>
      </c>
      <c r="C10" s="40">
        <v>25000.0</v>
      </c>
      <c r="D10" s="40">
        <v>22000.0</v>
      </c>
      <c r="E10" s="41">
        <f>SUM(C10-D10)</f>
        <v>3000</v>
      </c>
      <c r="F10" s="37">
        <f t="shared" ref="F10:F12" si="1">SUM(E10/C10)</f>
        <v>0.12</v>
      </c>
      <c r="G10" s="39">
        <v>15780.73</v>
      </c>
      <c r="H10" s="37">
        <f>SUM(G10/D10)</f>
        <v>0.7173059091</v>
      </c>
      <c r="I10" s="39">
        <v>13893.0</v>
      </c>
      <c r="J10" s="7">
        <v>15780.73</v>
      </c>
      <c r="K10" s="8">
        <f>sum(J10-I10)</f>
        <v>1887.73</v>
      </c>
      <c r="L10" s="7">
        <v>0.0</v>
      </c>
      <c r="M10" s="36">
        <f t="shared" ref="M10:M12" si="2">SUM(C10-J10)</f>
        <v>9219.27</v>
      </c>
      <c r="N10" s="8">
        <f t="shared" ref="N10:N12" si="3">SUM(E10-(E10*F10))</f>
        <v>2640</v>
      </c>
    </row>
    <row r="11" ht="14.25" customHeight="1">
      <c r="A11" s="42">
        <v>2.0</v>
      </c>
      <c r="B11" s="42" t="s">
        <v>219</v>
      </c>
      <c r="C11" s="43">
        <v>500.0</v>
      </c>
      <c r="D11" s="43">
        <v>400.0</v>
      </c>
      <c r="E11" s="44">
        <f>C11-D11</f>
        <v>100</v>
      </c>
      <c r="F11" s="37">
        <f t="shared" si="1"/>
        <v>0.2</v>
      </c>
      <c r="G11" s="45">
        <v>400.0</v>
      </c>
      <c r="H11" s="46">
        <v>1.0</v>
      </c>
      <c r="I11" s="47">
        <v>500.0</v>
      </c>
      <c r="J11" s="48">
        <v>100.0</v>
      </c>
      <c r="K11" s="48">
        <v>0.0</v>
      </c>
      <c r="L11" s="8">
        <f>sum(K11-J11)</f>
        <v>-100</v>
      </c>
      <c r="M11" s="36">
        <f t="shared" si="2"/>
        <v>400</v>
      </c>
      <c r="N11" s="8">
        <f t="shared" si="3"/>
        <v>80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>
      <c r="A12" s="50"/>
      <c r="B12" s="50"/>
      <c r="C12" s="51">
        <f t="shared" ref="C12:D12" si="4">SUM(C10:C11)</f>
        <v>25500</v>
      </c>
      <c r="D12" s="51">
        <f t="shared" si="4"/>
        <v>22400</v>
      </c>
      <c r="E12" s="51">
        <f>SUM(E10)</f>
        <v>3000</v>
      </c>
      <c r="F12" s="52">
        <f t="shared" si="1"/>
        <v>0.1176470588</v>
      </c>
      <c r="G12" s="51">
        <f>SUM(G10)</f>
        <v>15780.73</v>
      </c>
      <c r="H12" s="52">
        <f>AVERAGE(H10)</f>
        <v>0.7173059091</v>
      </c>
      <c r="I12" s="51">
        <f>SUM(I10)</f>
        <v>13893</v>
      </c>
      <c r="J12" s="51">
        <f>SUM(J10:J11)</f>
        <v>15880.73</v>
      </c>
      <c r="K12" s="53">
        <f t="shared" ref="K12:L12" si="5">sum(K10)</f>
        <v>1887.73</v>
      </c>
      <c r="L12" s="53">
        <f t="shared" si="5"/>
        <v>0</v>
      </c>
      <c r="M12" s="51">
        <f t="shared" si="2"/>
        <v>9619.27</v>
      </c>
      <c r="N12" s="53">
        <f t="shared" si="3"/>
        <v>2647.058824</v>
      </c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4.25" customHeight="1"/>
    <row r="14" ht="14.2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2.63"/>
    <col customWidth="1" min="3" max="3" width="20.25"/>
    <col customWidth="1" min="4" max="5" width="12.63"/>
    <col customWidth="1" min="6" max="6" width="16.13"/>
  </cols>
  <sheetData>
    <row r="1" ht="15.75" customHeight="1">
      <c r="A1" s="4" t="s">
        <v>220</v>
      </c>
      <c r="B1" s="4"/>
      <c r="K1" s="7" t="s">
        <v>221</v>
      </c>
    </row>
    <row r="2" ht="15.75" customHeight="1">
      <c r="A2" s="7" t="s">
        <v>222</v>
      </c>
      <c r="B2" s="7" t="s">
        <v>223</v>
      </c>
      <c r="K2" s="7" t="s">
        <v>224</v>
      </c>
    </row>
    <row r="3" ht="15.75" customHeight="1">
      <c r="A3" s="22" t="s">
        <v>225</v>
      </c>
      <c r="B3" s="22" t="s">
        <v>226</v>
      </c>
      <c r="C3" s="22" t="s">
        <v>227</v>
      </c>
      <c r="D3" s="22" t="s">
        <v>228</v>
      </c>
      <c r="E3" s="22"/>
      <c r="F3" s="22" t="s">
        <v>229</v>
      </c>
      <c r="G3" s="22"/>
      <c r="H3" s="22">
        <f>sum(H4:H6)</f>
        <v>287.5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15.75" customHeight="1">
      <c r="A4" s="7" t="s">
        <v>1</v>
      </c>
      <c r="B4" s="7">
        <v>25.0</v>
      </c>
      <c r="C4" s="7">
        <v>3.5</v>
      </c>
      <c r="D4" s="7">
        <v>14.0</v>
      </c>
      <c r="H4" s="7">
        <f t="shared" ref="H4:H5" si="1">sum(B4*C4)</f>
        <v>87.5</v>
      </c>
    </row>
    <row r="5" ht="15.75" customHeight="1">
      <c r="A5" s="7" t="s">
        <v>230</v>
      </c>
      <c r="B5" s="7">
        <v>25.0</v>
      </c>
      <c r="C5" s="7">
        <v>8.0</v>
      </c>
      <c r="D5" s="7">
        <v>5.0</v>
      </c>
      <c r="H5" s="7">
        <f t="shared" si="1"/>
        <v>200</v>
      </c>
    </row>
    <row r="6" ht="15.75" customHeight="1"/>
    <row r="7" ht="15.75" customHeight="1">
      <c r="A7" s="22" t="s">
        <v>231</v>
      </c>
      <c r="B7" s="22" t="s">
        <v>232</v>
      </c>
      <c r="C7" s="22" t="s">
        <v>227</v>
      </c>
      <c r="D7" s="22" t="s">
        <v>228</v>
      </c>
      <c r="E7" s="22"/>
      <c r="F7" s="22" t="s">
        <v>233</v>
      </c>
      <c r="G7" s="22"/>
      <c r="H7" s="22">
        <f>sum(H8:H14)</f>
        <v>5020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ht="15.75" customHeight="1">
      <c r="A8" s="7" t="s">
        <v>1</v>
      </c>
      <c r="B8" s="7">
        <v>30.0</v>
      </c>
      <c r="C8" s="7">
        <v>80.0</v>
      </c>
      <c r="D8" s="7">
        <v>14.0</v>
      </c>
      <c r="H8" s="7">
        <f t="shared" ref="H8:H11" si="2">sum(B8*C8)</f>
        <v>2400</v>
      </c>
    </row>
    <row r="9" ht="15.75" customHeight="1">
      <c r="A9" s="7" t="s">
        <v>183</v>
      </c>
      <c r="B9" s="7">
        <v>45.0</v>
      </c>
      <c r="C9" s="7">
        <v>16.0</v>
      </c>
      <c r="D9" s="7">
        <v>14.0</v>
      </c>
      <c r="H9" s="7">
        <f t="shared" si="2"/>
        <v>720</v>
      </c>
    </row>
    <row r="10" ht="15.75" customHeight="1">
      <c r="A10" s="7" t="s">
        <v>234</v>
      </c>
      <c r="B10" s="7">
        <v>25.0</v>
      </c>
      <c r="C10" s="7">
        <v>12.0</v>
      </c>
      <c r="D10" s="7">
        <v>14.0</v>
      </c>
      <c r="H10" s="7">
        <f t="shared" si="2"/>
        <v>300</v>
      </c>
    </row>
    <row r="11" ht="15.75" customHeight="1">
      <c r="A11" s="7" t="s">
        <v>235</v>
      </c>
      <c r="B11" s="7">
        <v>25.0</v>
      </c>
      <c r="C11" s="7">
        <v>64.0</v>
      </c>
      <c r="D11" s="7">
        <v>14.0</v>
      </c>
      <c r="H11" s="7">
        <f t="shared" si="2"/>
        <v>1600</v>
      </c>
    </row>
    <row r="12" ht="15.75" customHeight="1"/>
    <row r="13" ht="15.75" customHeight="1"/>
    <row r="14" ht="15.75" customHeight="1"/>
    <row r="15" ht="15.75" customHeight="1">
      <c r="F15" s="7" t="s">
        <v>236</v>
      </c>
      <c r="H15" s="7">
        <v>17000.0</v>
      </c>
    </row>
    <row r="16" ht="15.75" customHeight="1">
      <c r="F16" s="4" t="s">
        <v>237</v>
      </c>
      <c r="H16" s="4">
        <v>8500.0</v>
      </c>
    </row>
    <row r="17" ht="15.75" customHeight="1">
      <c r="F17" s="56" t="s">
        <v>238</v>
      </c>
      <c r="H17" s="56">
        <f>SUM(H4:H6)</f>
        <v>287.5</v>
      </c>
    </row>
    <row r="18" ht="15.75" customHeight="1">
      <c r="F18" s="56" t="s">
        <v>239</v>
      </c>
      <c r="H18" s="56">
        <f>sum(H8:H12)</f>
        <v>5020</v>
      </c>
    </row>
    <row r="19" ht="15.75" customHeight="1">
      <c r="F19" s="56" t="s">
        <v>240</v>
      </c>
      <c r="H19" s="56">
        <f>' liability expenses'!P14</f>
        <v>2298</v>
      </c>
    </row>
    <row r="20" ht="15.75" customHeight="1">
      <c r="F20" s="7"/>
      <c r="H20" s="7"/>
    </row>
    <row r="21" ht="15.75" customHeight="1">
      <c r="F21" s="7" t="s">
        <v>241</v>
      </c>
      <c r="H21" s="7">
        <f>sum(H16-H17-H18-H19)</f>
        <v>894.5</v>
      </c>
    </row>
    <row r="22" ht="15.75" customHeight="1">
      <c r="F22" s="7" t="s">
        <v>242</v>
      </c>
      <c r="H22" s="7">
        <f>sum(H18*0.0435)</f>
        <v>218.37</v>
      </c>
    </row>
    <row r="23" ht="15.75" customHeight="1">
      <c r="F23" s="7" t="s">
        <v>243</v>
      </c>
      <c r="H23" s="7">
        <f>Sum(H21-H22)</f>
        <v>676.13</v>
      </c>
    </row>
    <row r="24" ht="15.75" customHeight="1"/>
    <row r="25" ht="15.75" customHeight="1">
      <c r="F25" s="7" t="s">
        <v>244</v>
      </c>
      <c r="H25" s="7">
        <f>sum(C4:C11)</f>
        <v>183.5</v>
      </c>
    </row>
    <row r="26" ht="15.75" customHeight="1">
      <c r="J26" s="7">
        <v>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4.13"/>
    <col customWidth="1" min="3" max="3" width="24.0"/>
    <col customWidth="1" min="4" max="4" width="45.38"/>
    <col customWidth="1" min="5" max="6" width="12.63"/>
  </cols>
  <sheetData>
    <row r="1" ht="15.75" customHeight="1">
      <c r="A1" s="7" t="s">
        <v>245</v>
      </c>
      <c r="B1" s="7" t="s">
        <v>246</v>
      </c>
      <c r="C1" s="7" t="s">
        <v>247</v>
      </c>
      <c r="D1" s="7" t="s">
        <v>248</v>
      </c>
    </row>
    <row r="2" ht="15.75" customHeight="1">
      <c r="A2" s="7" t="s">
        <v>249</v>
      </c>
    </row>
    <row r="3" ht="15.75" customHeight="1">
      <c r="A3" s="7" t="s">
        <v>250</v>
      </c>
    </row>
    <row r="4" ht="15.75" customHeight="1">
      <c r="A4" s="7" t="s">
        <v>251</v>
      </c>
    </row>
    <row r="5" ht="15.75" customHeight="1">
      <c r="A5" s="7" t="s">
        <v>252</v>
      </c>
    </row>
    <row r="6" ht="15.75" customHeight="1">
      <c r="A6" s="7" t="s">
        <v>253</v>
      </c>
    </row>
    <row r="7" ht="15.75" customHeight="1">
      <c r="A7" s="7" t="s">
        <v>254</v>
      </c>
    </row>
    <row r="8" ht="15.75" customHeight="1">
      <c r="A8" s="7" t="s">
        <v>255</v>
      </c>
      <c r="B8" s="7" t="s">
        <v>256</v>
      </c>
      <c r="C8" s="7" t="s">
        <v>257</v>
      </c>
      <c r="D8" s="57" t="s">
        <v>258</v>
      </c>
    </row>
    <row r="9" ht="15.75" customHeight="1">
      <c r="A9" s="7" t="s">
        <v>259</v>
      </c>
      <c r="B9" s="7" t="s">
        <v>260</v>
      </c>
      <c r="C9" s="7" t="s">
        <v>257</v>
      </c>
      <c r="D9" s="57" t="s">
        <v>261</v>
      </c>
    </row>
    <row r="10" ht="15.75" customHeight="1">
      <c r="A10" s="7" t="s">
        <v>262</v>
      </c>
    </row>
    <row r="11" ht="15.75" customHeight="1">
      <c r="A11" s="7" t="s">
        <v>263</v>
      </c>
    </row>
    <row r="12" ht="15.75" customHeight="1">
      <c r="A12" s="7" t="s">
        <v>264</v>
      </c>
    </row>
    <row r="13" ht="15.75" customHeight="1">
      <c r="A13" s="7" t="s">
        <v>265</v>
      </c>
    </row>
    <row r="14" ht="15.75" customHeight="1">
      <c r="A14" s="7" t="s">
        <v>266</v>
      </c>
    </row>
    <row r="15" ht="15.75" customHeight="1">
      <c r="A15" s="7" t="s">
        <v>267</v>
      </c>
    </row>
    <row r="16" ht="15.75" customHeight="1">
      <c r="A16" s="7" t="s">
        <v>268</v>
      </c>
    </row>
    <row r="17" ht="15.75" customHeight="1">
      <c r="A17" s="7" t="s">
        <v>269</v>
      </c>
    </row>
    <row r="18" ht="15.75" customHeight="1">
      <c r="A18" s="7" t="s">
        <v>120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8"/>
    <hyperlink r:id="rId2" ref="D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0"/>
    <col customWidth="1" min="2" max="6" width="12.63"/>
  </cols>
  <sheetData>
    <row r="1" ht="15.75" customHeight="1">
      <c r="A1" s="58">
        <f>SUM(B7:B10)</f>
        <v>0</v>
      </c>
      <c r="B1" s="19" t="s">
        <v>270</v>
      </c>
      <c r="C1" s="19" t="s">
        <v>271</v>
      </c>
      <c r="D1" s="19" t="s">
        <v>272</v>
      </c>
      <c r="E1" s="19" t="s">
        <v>273</v>
      </c>
      <c r="F1" s="19" t="s">
        <v>274</v>
      </c>
      <c r="G1" s="19" t="s">
        <v>275</v>
      </c>
      <c r="H1" s="19" t="s">
        <v>276</v>
      </c>
      <c r="I1" s="19" t="s">
        <v>5</v>
      </c>
      <c r="J1" s="19" t="s">
        <v>277</v>
      </c>
      <c r="K1" s="19" t="s">
        <v>278</v>
      </c>
      <c r="L1" s="19" t="s">
        <v>279</v>
      </c>
      <c r="M1" s="19" t="s">
        <v>280</v>
      </c>
    </row>
    <row r="2" ht="15.75" customHeight="1">
      <c r="A2" s="59" t="s">
        <v>281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ht="15.75" customHeight="1">
      <c r="A3" s="59" t="s">
        <v>282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ht="15.75" customHeight="1">
      <c r="A4" s="59" t="s">
        <v>283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ht="15.75" customHeight="1">
      <c r="A5" s="59" t="s">
        <v>284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6" ht="15.75" customHeight="1">
      <c r="A6" s="59" t="s">
        <v>285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</row>
    <row r="7" ht="15.75" customHeight="1">
      <c r="A7" s="59" t="s">
        <v>286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</row>
    <row r="8" ht="15.75" customHeight="1">
      <c r="A8" s="59" t="s">
        <v>287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</row>
    <row r="9" ht="15.75" customHeight="1">
      <c r="A9" s="59" t="s">
        <v>88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</row>
    <row r="10" ht="15.75" customHeight="1">
      <c r="A10" s="59" t="s">
        <v>89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ht="15.75" customHeight="1">
      <c r="A11" s="59" t="s">
        <v>288</v>
      </c>
      <c r="B11" s="60">
        <v>3500.0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ht="15.75" customHeight="1">
      <c r="A12" s="3" t="s">
        <v>289</v>
      </c>
      <c r="B12" s="8">
        <f>SUM(B2:B11)</f>
        <v>3500</v>
      </c>
      <c r="C12" s="8">
        <f t="shared" ref="C12:M12" si="1">SUM(C2:C10)</f>
        <v>0</v>
      </c>
      <c r="D12" s="8">
        <f t="shared" si="1"/>
        <v>0</v>
      </c>
      <c r="E12" s="8">
        <f t="shared" si="1"/>
        <v>0</v>
      </c>
      <c r="F12" s="8">
        <f t="shared" si="1"/>
        <v>0</v>
      </c>
      <c r="G12" s="8">
        <f t="shared" si="1"/>
        <v>0</v>
      </c>
      <c r="H12" s="8">
        <f t="shared" si="1"/>
        <v>0</v>
      </c>
      <c r="I12" s="8">
        <f t="shared" si="1"/>
        <v>0</v>
      </c>
      <c r="J12" s="8">
        <f t="shared" si="1"/>
        <v>0</v>
      </c>
      <c r="K12" s="8">
        <f t="shared" si="1"/>
        <v>0</v>
      </c>
      <c r="L12" s="8">
        <f t="shared" si="1"/>
        <v>0</v>
      </c>
      <c r="M12" s="8">
        <f t="shared" si="1"/>
        <v>0</v>
      </c>
    </row>
    <row r="13" ht="15.75" customHeight="1">
      <c r="A13" s="7" t="s">
        <v>290</v>
      </c>
      <c r="B13" s="8"/>
      <c r="C13" s="8">
        <v>10000.0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ht="15.75" customHeight="1">
      <c r="A14" s="7" t="s">
        <v>291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ht="15.75" customHeight="1">
      <c r="A15" s="7" t="s">
        <v>291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ht="15.75" customHeight="1">
      <c r="A16" s="7" t="s">
        <v>291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ht="15.75" customHeight="1">
      <c r="A17" s="7" t="s">
        <v>291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ht="15.75" customHeight="1">
      <c r="A18" s="7" t="s">
        <v>291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ht="15.75" customHeight="1">
      <c r="A19" s="7" t="s">
        <v>291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ht="15.75" customHeight="1">
      <c r="A20" s="7" t="s">
        <v>291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ht="15.75" customHeight="1">
      <c r="A21" s="7" t="s">
        <v>291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ht="15.75" customHeight="1">
      <c r="A22" s="7" t="s">
        <v>99</v>
      </c>
      <c r="B22" s="8">
        <f t="shared" ref="B22:M22" si="2">SUM(B14:B21)</f>
        <v>0</v>
      </c>
      <c r="C22" s="8">
        <f t="shared" si="2"/>
        <v>0</v>
      </c>
      <c r="D22" s="8">
        <f t="shared" si="2"/>
        <v>0</v>
      </c>
      <c r="E22" s="8">
        <f t="shared" si="2"/>
        <v>0</v>
      </c>
      <c r="F22" s="8">
        <f t="shared" si="2"/>
        <v>0</v>
      </c>
      <c r="G22" s="8">
        <f t="shared" si="2"/>
        <v>0</v>
      </c>
      <c r="H22" s="8">
        <f t="shared" si="2"/>
        <v>0</v>
      </c>
      <c r="I22" s="8">
        <f t="shared" si="2"/>
        <v>0</v>
      </c>
      <c r="J22" s="8">
        <f t="shared" si="2"/>
        <v>0</v>
      </c>
      <c r="K22" s="8">
        <f t="shared" si="2"/>
        <v>0</v>
      </c>
      <c r="L22" s="8">
        <f t="shared" si="2"/>
        <v>0</v>
      </c>
      <c r="M22" s="8">
        <f t="shared" si="2"/>
        <v>0</v>
      </c>
    </row>
    <row r="23" ht="15.75" customHeight="1">
      <c r="A23" s="61" t="s">
        <v>292</v>
      </c>
      <c r="B23" s="8">
        <f t="shared" ref="B23:M23" si="3">B12+B22</f>
        <v>3500</v>
      </c>
      <c r="C23" s="8">
        <f t="shared" si="3"/>
        <v>0</v>
      </c>
      <c r="D23" s="8">
        <f t="shared" si="3"/>
        <v>0</v>
      </c>
      <c r="E23" s="8">
        <f t="shared" si="3"/>
        <v>0</v>
      </c>
      <c r="F23" s="8">
        <f t="shared" si="3"/>
        <v>0</v>
      </c>
      <c r="G23" s="8">
        <f t="shared" si="3"/>
        <v>0</v>
      </c>
      <c r="H23" s="8">
        <f t="shared" si="3"/>
        <v>0</v>
      </c>
      <c r="I23" s="8">
        <f t="shared" si="3"/>
        <v>0</v>
      </c>
      <c r="J23" s="8">
        <f t="shared" si="3"/>
        <v>0</v>
      </c>
      <c r="K23" s="8">
        <f t="shared" si="3"/>
        <v>0</v>
      </c>
      <c r="L23" s="8">
        <f t="shared" si="3"/>
        <v>0</v>
      </c>
      <c r="M23" s="8">
        <f t="shared" si="3"/>
        <v>0</v>
      </c>
    </row>
    <row r="2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ht="15.75" customHeight="1">
      <c r="A25" s="7" t="s">
        <v>293</v>
      </c>
      <c r="B25" s="8">
        <v>3500.0</v>
      </c>
      <c r="C25" s="8">
        <v>3500.0</v>
      </c>
      <c r="D25" s="8">
        <v>3500.0</v>
      </c>
      <c r="E25" s="8">
        <v>3500.0</v>
      </c>
      <c r="F25" s="8">
        <v>3500.0</v>
      </c>
      <c r="G25" s="8">
        <v>3500.0</v>
      </c>
      <c r="H25" s="8">
        <v>3500.0</v>
      </c>
      <c r="I25" s="8">
        <v>3500.0</v>
      </c>
      <c r="J25" s="8">
        <v>3500.0</v>
      </c>
      <c r="K25" s="8">
        <v>3500.0</v>
      </c>
      <c r="L25" s="8">
        <v>3500.0</v>
      </c>
      <c r="M25" s="8">
        <v>3500.0</v>
      </c>
      <c r="N25" s="8"/>
      <c r="O25" s="8"/>
      <c r="P25" s="8"/>
      <c r="Q25" s="8"/>
      <c r="R25" s="8"/>
      <c r="S25" s="8"/>
      <c r="T25" s="8"/>
      <c r="U25" s="8"/>
      <c r="V25" s="8"/>
    </row>
    <row r="26" ht="15.75" customHeight="1">
      <c r="A26" s="3" t="s">
        <v>294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5.75" customHeight="1">
      <c r="A27" s="62" t="s">
        <v>295</v>
      </c>
      <c r="B27" s="8">
        <v>650.0</v>
      </c>
      <c r="C27" s="8">
        <v>650.0</v>
      </c>
      <c r="D27" s="8">
        <v>650.0</v>
      </c>
      <c r="E27" s="8">
        <v>650.0</v>
      </c>
      <c r="F27" s="8">
        <v>650.0</v>
      </c>
      <c r="G27" s="8">
        <v>650.0</v>
      </c>
      <c r="H27" s="8">
        <v>650.0</v>
      </c>
      <c r="I27" s="8">
        <v>650.0</v>
      </c>
      <c r="J27" s="8">
        <v>650.0</v>
      </c>
      <c r="K27" s="8">
        <v>650.0</v>
      </c>
      <c r="L27" s="8">
        <v>650.0</v>
      </c>
      <c r="M27" s="8">
        <v>650.0</v>
      </c>
      <c r="N27" s="8"/>
      <c r="O27" s="8"/>
      <c r="P27" s="8"/>
      <c r="Q27" s="8"/>
      <c r="R27" s="8"/>
      <c r="S27" s="8"/>
      <c r="T27" s="8"/>
      <c r="U27" s="8"/>
      <c r="V27" s="8"/>
    </row>
    <row r="28" ht="15.75" customHeight="1">
      <c r="A28" s="62" t="s">
        <v>117</v>
      </c>
      <c r="B28" s="8">
        <v>533.33</v>
      </c>
      <c r="C28" s="8">
        <v>533.33</v>
      </c>
      <c r="D28" s="8">
        <v>533.33</v>
      </c>
      <c r="E28" s="8">
        <v>533.33</v>
      </c>
      <c r="F28" s="8">
        <v>533.33</v>
      </c>
      <c r="G28" s="8">
        <v>533.33</v>
      </c>
      <c r="H28" s="8">
        <v>533.33</v>
      </c>
      <c r="I28" s="8">
        <v>533.33</v>
      </c>
      <c r="J28" s="8">
        <v>533.33</v>
      </c>
      <c r="K28" s="8">
        <v>533.33</v>
      </c>
      <c r="L28" s="8">
        <v>533.33</v>
      </c>
      <c r="M28" s="8">
        <f>533.33+100.04</f>
        <v>633.37</v>
      </c>
      <c r="N28" s="8"/>
      <c r="O28" s="8"/>
      <c r="P28" s="8"/>
      <c r="Q28" s="8"/>
      <c r="R28" s="8"/>
      <c r="S28" s="8"/>
      <c r="T28" s="8"/>
      <c r="U28" s="8"/>
      <c r="V28" s="8"/>
    </row>
    <row r="29" ht="15.75" customHeight="1">
      <c r="A29" s="7" t="s">
        <v>296</v>
      </c>
      <c r="B29" s="8">
        <v>125.0</v>
      </c>
      <c r="C29" s="8">
        <v>125.0</v>
      </c>
      <c r="D29" s="8">
        <v>125.0</v>
      </c>
      <c r="E29" s="8">
        <v>125.0</v>
      </c>
      <c r="F29" s="8">
        <v>125.0</v>
      </c>
      <c r="G29" s="8">
        <v>125.0</v>
      </c>
      <c r="H29" s="8">
        <v>125.0</v>
      </c>
      <c r="I29" s="8">
        <v>125.0</v>
      </c>
      <c r="J29" s="8">
        <v>125.0</v>
      </c>
      <c r="K29" s="8">
        <v>125.0</v>
      </c>
      <c r="L29" s="8">
        <v>125.0</v>
      </c>
      <c r="M29" s="8">
        <v>125.0</v>
      </c>
      <c r="N29" s="8"/>
      <c r="O29" s="8"/>
      <c r="P29" s="8"/>
      <c r="Q29" s="8"/>
      <c r="R29" s="8"/>
      <c r="S29" s="8"/>
      <c r="T29" s="8"/>
      <c r="U29" s="8"/>
      <c r="V29" s="8"/>
    </row>
    <row r="30" ht="15.75" customHeight="1">
      <c r="A30" s="7" t="s">
        <v>297</v>
      </c>
      <c r="B30" s="8">
        <f t="shared" ref="B30:M30" si="4">B25*0.04</f>
        <v>140</v>
      </c>
      <c r="C30" s="8">
        <f t="shared" si="4"/>
        <v>140</v>
      </c>
      <c r="D30" s="8">
        <f t="shared" si="4"/>
        <v>140</v>
      </c>
      <c r="E30" s="8">
        <f t="shared" si="4"/>
        <v>140</v>
      </c>
      <c r="F30" s="8">
        <f t="shared" si="4"/>
        <v>140</v>
      </c>
      <c r="G30" s="8">
        <f t="shared" si="4"/>
        <v>140</v>
      </c>
      <c r="H30" s="8">
        <f t="shared" si="4"/>
        <v>140</v>
      </c>
      <c r="I30" s="8">
        <f t="shared" si="4"/>
        <v>140</v>
      </c>
      <c r="J30" s="8">
        <f t="shared" si="4"/>
        <v>140</v>
      </c>
      <c r="K30" s="8">
        <f t="shared" si="4"/>
        <v>140</v>
      </c>
      <c r="L30" s="8">
        <f t="shared" si="4"/>
        <v>140</v>
      </c>
      <c r="M30" s="8">
        <f t="shared" si="4"/>
        <v>140</v>
      </c>
      <c r="N30" s="8"/>
      <c r="O30" s="8"/>
      <c r="P30" s="8"/>
      <c r="Q30" s="8"/>
      <c r="R30" s="8"/>
      <c r="S30" s="8"/>
      <c r="T30" s="8"/>
      <c r="U30" s="8"/>
      <c r="V30" s="8"/>
    </row>
    <row r="31" ht="15.75" customHeight="1">
      <c r="A31" s="7" t="s">
        <v>298</v>
      </c>
      <c r="B31" s="8">
        <f t="shared" ref="B31:M31" si="5">B25*0.0765</f>
        <v>267.75</v>
      </c>
      <c r="C31" s="8">
        <f t="shared" si="5"/>
        <v>267.75</v>
      </c>
      <c r="D31" s="8">
        <f t="shared" si="5"/>
        <v>267.75</v>
      </c>
      <c r="E31" s="8">
        <f t="shared" si="5"/>
        <v>267.75</v>
      </c>
      <c r="F31" s="8">
        <f t="shared" si="5"/>
        <v>267.75</v>
      </c>
      <c r="G31" s="8">
        <f t="shared" si="5"/>
        <v>267.75</v>
      </c>
      <c r="H31" s="8">
        <f t="shared" si="5"/>
        <v>267.75</v>
      </c>
      <c r="I31" s="8">
        <f t="shared" si="5"/>
        <v>267.75</v>
      </c>
      <c r="J31" s="8">
        <f t="shared" si="5"/>
        <v>267.75</v>
      </c>
      <c r="K31" s="8">
        <f t="shared" si="5"/>
        <v>267.75</v>
      </c>
      <c r="L31" s="8">
        <f t="shared" si="5"/>
        <v>267.75</v>
      </c>
      <c r="M31" s="8">
        <f t="shared" si="5"/>
        <v>267.75</v>
      </c>
      <c r="N31" s="8"/>
      <c r="O31" s="8"/>
      <c r="P31" s="8"/>
      <c r="Q31" s="8"/>
      <c r="R31" s="8"/>
      <c r="S31" s="8"/>
      <c r="T31" s="8"/>
      <c r="U31" s="8"/>
      <c r="V31" s="8"/>
    </row>
    <row r="32" ht="15.75" customHeight="1">
      <c r="A32" s="61" t="s">
        <v>299</v>
      </c>
      <c r="B32" s="8">
        <f t="shared" ref="B32:M32" si="6">SUM(B25:B31)</f>
        <v>5216.08</v>
      </c>
      <c r="C32" s="8">
        <f t="shared" si="6"/>
        <v>5216.08</v>
      </c>
      <c r="D32" s="8">
        <f t="shared" si="6"/>
        <v>5216.08</v>
      </c>
      <c r="E32" s="8">
        <f t="shared" si="6"/>
        <v>5216.08</v>
      </c>
      <c r="F32" s="8">
        <f t="shared" si="6"/>
        <v>5216.08</v>
      </c>
      <c r="G32" s="8">
        <f t="shared" si="6"/>
        <v>5216.08</v>
      </c>
      <c r="H32" s="8">
        <f t="shared" si="6"/>
        <v>5216.08</v>
      </c>
      <c r="I32" s="8">
        <f t="shared" si="6"/>
        <v>5216.08</v>
      </c>
      <c r="J32" s="8">
        <f t="shared" si="6"/>
        <v>5216.08</v>
      </c>
      <c r="K32" s="8">
        <f t="shared" si="6"/>
        <v>5216.08</v>
      </c>
      <c r="L32" s="8">
        <f t="shared" si="6"/>
        <v>5216.08</v>
      </c>
      <c r="M32" s="8">
        <f t="shared" si="6"/>
        <v>5316.12</v>
      </c>
      <c r="N32" s="8"/>
      <c r="O32" s="8"/>
      <c r="P32" s="8"/>
      <c r="Q32" s="8"/>
      <c r="R32" s="8"/>
      <c r="S32" s="8"/>
      <c r="T32" s="8"/>
      <c r="U32" s="8"/>
      <c r="V32" s="8"/>
    </row>
    <row r="33" ht="15.75" customHeight="1">
      <c r="A33" s="7" t="s">
        <v>300</v>
      </c>
      <c r="B33" s="8">
        <v>1575.0</v>
      </c>
      <c r="C33" s="8">
        <v>1575.0</v>
      </c>
      <c r="D33" s="8">
        <v>1575.0</v>
      </c>
      <c r="E33" s="8">
        <v>1575.0</v>
      </c>
      <c r="F33" s="8">
        <v>1575.0</v>
      </c>
      <c r="G33" s="8">
        <v>1575.0</v>
      </c>
      <c r="H33" s="8">
        <v>1575.0</v>
      </c>
      <c r="I33" s="8">
        <v>1575.0</v>
      </c>
      <c r="J33" s="8">
        <v>1575.0</v>
      </c>
      <c r="K33" s="8">
        <v>1575.0</v>
      </c>
      <c r="L33" s="8">
        <v>1575.0</v>
      </c>
      <c r="M33" s="8">
        <v>1575.0</v>
      </c>
      <c r="N33" s="8"/>
      <c r="O33" s="8"/>
      <c r="P33" s="8"/>
      <c r="Q33" s="8"/>
      <c r="R33" s="8"/>
      <c r="S33" s="8"/>
      <c r="T33" s="8"/>
      <c r="U33" s="8"/>
      <c r="V33" s="8"/>
    </row>
    <row r="34" ht="15.75" customHeight="1">
      <c r="A34" s="7" t="s">
        <v>301</v>
      </c>
      <c r="B34" s="8">
        <v>15000.0</v>
      </c>
      <c r="C34" s="8">
        <v>15000.0</v>
      </c>
      <c r="D34" s="8">
        <v>15000.0</v>
      </c>
      <c r="E34" s="8">
        <v>15000.0</v>
      </c>
      <c r="F34" s="8">
        <v>15000.0</v>
      </c>
      <c r="G34" s="8">
        <v>15000.0</v>
      </c>
      <c r="H34" s="8">
        <v>15000.0</v>
      </c>
      <c r="I34" s="8">
        <v>15000.0</v>
      </c>
      <c r="J34" s="8">
        <v>15000.0</v>
      </c>
      <c r="K34" s="8">
        <v>15000.0</v>
      </c>
      <c r="L34" s="8">
        <v>15000.0</v>
      </c>
      <c r="M34" s="8">
        <v>15000.0</v>
      </c>
      <c r="N34" s="8"/>
      <c r="O34" s="8"/>
      <c r="P34" s="8"/>
      <c r="Q34" s="8"/>
      <c r="R34" s="8"/>
      <c r="S34" s="8"/>
      <c r="T34" s="8"/>
      <c r="U34" s="8"/>
      <c r="V34" s="8"/>
    </row>
    <row r="35" ht="15.75" customHeight="1">
      <c r="A35" s="7" t="s">
        <v>302</v>
      </c>
      <c r="B35" s="8">
        <v>2100.0</v>
      </c>
      <c r="C35" s="8">
        <v>2100.0</v>
      </c>
      <c r="D35" s="8">
        <v>2100.0</v>
      </c>
      <c r="E35" s="8">
        <v>2100.0</v>
      </c>
      <c r="F35" s="8">
        <v>2100.0</v>
      </c>
      <c r="G35" s="8">
        <v>2100.0</v>
      </c>
      <c r="H35" s="8">
        <v>2100.0</v>
      </c>
      <c r="I35" s="8">
        <v>2100.0</v>
      </c>
      <c r="J35" s="8">
        <v>2100.0</v>
      </c>
      <c r="K35" s="8">
        <v>2100.0</v>
      </c>
      <c r="L35" s="8">
        <v>2100.0</v>
      </c>
      <c r="M35" s="8">
        <v>2100.0</v>
      </c>
      <c r="N35" s="8"/>
      <c r="O35" s="8"/>
      <c r="P35" s="8"/>
      <c r="Q35" s="8"/>
      <c r="R35" s="8"/>
      <c r="S35" s="8"/>
      <c r="T35" s="8"/>
      <c r="U35" s="8"/>
      <c r="V35" s="8"/>
    </row>
    <row r="36" ht="15.75" customHeight="1">
      <c r="A36" s="62" t="s">
        <v>303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5.75" customHeight="1">
      <c r="A37" s="62" t="s">
        <v>304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5.75" customHeight="1">
      <c r="A38" s="62" t="s">
        <v>305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5.75" customHeight="1">
      <c r="A39" s="7" t="s">
        <v>306</v>
      </c>
      <c r="B39" s="8">
        <v>5000.0</v>
      </c>
      <c r="C39" s="8">
        <v>5000.0</v>
      </c>
      <c r="D39" s="8">
        <v>5000.0</v>
      </c>
      <c r="E39" s="8">
        <v>5000.0</v>
      </c>
      <c r="F39" s="8">
        <v>5000.0</v>
      </c>
      <c r="G39" s="8">
        <v>5000.0</v>
      </c>
      <c r="H39" s="8">
        <v>5000.0</v>
      </c>
      <c r="I39" s="8">
        <v>5000.0</v>
      </c>
      <c r="J39" s="8">
        <v>5000.0</v>
      </c>
      <c r="K39" s="8">
        <v>5000.0</v>
      </c>
      <c r="L39" s="8">
        <v>5000.0</v>
      </c>
      <c r="M39" s="8">
        <v>5000.0</v>
      </c>
      <c r="N39" s="8"/>
      <c r="O39" s="8"/>
      <c r="P39" s="8"/>
      <c r="Q39" s="8"/>
      <c r="R39" s="8"/>
      <c r="S39" s="8"/>
      <c r="T39" s="8"/>
      <c r="U39" s="8"/>
      <c r="V39" s="8"/>
    </row>
    <row r="40" ht="15.75" customHeight="1">
      <c r="A40" s="7" t="s">
        <v>110</v>
      </c>
      <c r="B40" s="8">
        <v>391.0</v>
      </c>
      <c r="C40" s="8">
        <v>391.0</v>
      </c>
      <c r="D40" s="8">
        <v>391.0</v>
      </c>
      <c r="E40" s="8">
        <v>391.0</v>
      </c>
      <c r="F40" s="8">
        <v>391.0</v>
      </c>
      <c r="G40" s="8">
        <v>391.0</v>
      </c>
      <c r="H40" s="8">
        <v>391.0</v>
      </c>
      <c r="I40" s="8">
        <v>391.0</v>
      </c>
      <c r="J40" s="8">
        <v>391.0</v>
      </c>
      <c r="K40" s="8">
        <v>391.0</v>
      </c>
      <c r="L40" s="8">
        <v>391.0</v>
      </c>
      <c r="M40" s="8">
        <v>391.0</v>
      </c>
      <c r="N40" s="8"/>
      <c r="O40" s="8"/>
      <c r="P40" s="8"/>
      <c r="Q40" s="8"/>
      <c r="R40" s="8"/>
      <c r="S40" s="8"/>
      <c r="T40" s="8"/>
      <c r="U40" s="8"/>
      <c r="V40" s="8"/>
    </row>
    <row r="41" ht="15.75" customHeight="1">
      <c r="A41" s="3" t="s">
        <v>307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6.5" customHeight="1">
      <c r="A42" s="62" t="s">
        <v>308</v>
      </c>
      <c r="B42" s="8">
        <v>0.0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2600.0</v>
      </c>
      <c r="L42" s="8">
        <v>0.0</v>
      </c>
      <c r="M42" s="8">
        <v>0.0</v>
      </c>
      <c r="N42" s="8"/>
      <c r="O42" s="8"/>
      <c r="P42" s="8"/>
      <c r="Q42" s="8"/>
      <c r="R42" s="8"/>
      <c r="S42" s="8"/>
      <c r="T42" s="8"/>
      <c r="U42" s="8"/>
      <c r="V42" s="8"/>
    </row>
    <row r="43" ht="16.5" customHeight="1">
      <c r="A43" s="62" t="s">
        <v>268</v>
      </c>
      <c r="B43" s="8">
        <v>15.0</v>
      </c>
      <c r="C43" s="8">
        <v>94.0</v>
      </c>
      <c r="D43" s="8">
        <v>94.0</v>
      </c>
      <c r="E43" s="8">
        <v>94.0</v>
      </c>
      <c r="F43" s="8">
        <v>94.0</v>
      </c>
      <c r="G43" s="8">
        <v>94.0</v>
      </c>
      <c r="H43" s="8">
        <v>94.0</v>
      </c>
      <c r="I43" s="8">
        <v>94.0</v>
      </c>
      <c r="J43" s="8">
        <v>94.0</v>
      </c>
      <c r="K43" s="8">
        <v>94.0</v>
      </c>
      <c r="L43" s="8">
        <v>94.0</v>
      </c>
      <c r="M43" s="8">
        <v>94.0</v>
      </c>
      <c r="N43" s="8"/>
      <c r="O43" s="8"/>
      <c r="P43" s="8"/>
      <c r="Q43" s="8"/>
      <c r="R43" s="8"/>
      <c r="S43" s="8"/>
      <c r="T43" s="8"/>
      <c r="U43" s="8"/>
      <c r="V43" s="8"/>
    </row>
    <row r="44" ht="15.75" customHeight="1">
      <c r="A44" s="62" t="s">
        <v>267</v>
      </c>
      <c r="B44" s="8">
        <v>300.0</v>
      </c>
      <c r="C44" s="8">
        <v>300.0</v>
      </c>
      <c r="D44" s="8">
        <v>300.0</v>
      </c>
      <c r="E44" s="8">
        <v>300.0</v>
      </c>
      <c r="F44" s="8">
        <v>300.0</v>
      </c>
      <c r="G44" s="8">
        <v>300.0</v>
      </c>
      <c r="H44" s="8">
        <v>300.0</v>
      </c>
      <c r="I44" s="8">
        <v>300.0</v>
      </c>
      <c r="J44" s="8">
        <v>300.0</v>
      </c>
      <c r="K44" s="8">
        <v>300.0</v>
      </c>
      <c r="L44" s="8">
        <v>300.0</v>
      </c>
      <c r="M44" s="8">
        <v>300.0</v>
      </c>
      <c r="N44" s="8"/>
      <c r="O44" s="8"/>
      <c r="P44" s="8"/>
      <c r="Q44" s="8"/>
      <c r="R44" s="8"/>
      <c r="S44" s="8"/>
      <c r="T44" s="8"/>
      <c r="U44" s="8"/>
      <c r="V44" s="8"/>
    </row>
    <row r="45" ht="15.75" customHeight="1">
      <c r="A45" s="62" t="s">
        <v>309</v>
      </c>
      <c r="B45" s="8">
        <v>91.0</v>
      </c>
      <c r="C45" s="8">
        <v>91.0</v>
      </c>
      <c r="D45" s="8">
        <v>91.0</v>
      </c>
      <c r="E45" s="8">
        <v>91.0</v>
      </c>
      <c r="F45" s="8">
        <v>91.0</v>
      </c>
      <c r="G45" s="8">
        <v>91.0</v>
      </c>
      <c r="H45" s="8">
        <v>91.0</v>
      </c>
      <c r="I45" s="8">
        <v>91.0</v>
      </c>
      <c r="J45" s="8">
        <v>91.0</v>
      </c>
      <c r="K45" s="8">
        <v>91.0</v>
      </c>
      <c r="L45" s="8">
        <v>91.0</v>
      </c>
      <c r="M45" s="8">
        <v>91.0</v>
      </c>
      <c r="N45" s="8"/>
      <c r="O45" s="8"/>
      <c r="P45" s="8"/>
      <c r="Q45" s="8"/>
      <c r="R45" s="8"/>
      <c r="S45" s="8"/>
      <c r="T45" s="8"/>
      <c r="U45" s="8"/>
      <c r="V45" s="8"/>
    </row>
    <row r="46" ht="15.75" customHeight="1">
      <c r="A46" s="7" t="s">
        <v>310</v>
      </c>
      <c r="B46" s="8">
        <v>150.0</v>
      </c>
      <c r="C46" s="8">
        <v>150.0</v>
      </c>
      <c r="D46" s="8">
        <v>150.0</v>
      </c>
      <c r="E46" s="8">
        <v>150.0</v>
      </c>
      <c r="F46" s="8">
        <v>150.0</v>
      </c>
      <c r="G46" s="8">
        <v>150.0</v>
      </c>
      <c r="H46" s="8">
        <v>150.0</v>
      </c>
      <c r="I46" s="8">
        <v>150.0</v>
      </c>
      <c r="J46" s="8">
        <v>150.0</v>
      </c>
      <c r="K46" s="8">
        <v>150.0</v>
      </c>
      <c r="L46" s="8">
        <v>150.0</v>
      </c>
      <c r="M46" s="8">
        <v>150.0</v>
      </c>
      <c r="N46" s="8"/>
      <c r="O46" s="8"/>
      <c r="P46" s="8"/>
      <c r="Q46" s="8"/>
      <c r="R46" s="8"/>
      <c r="S46" s="8"/>
      <c r="T46" s="8"/>
      <c r="U46" s="8"/>
      <c r="V46" s="8"/>
    </row>
    <row r="47" ht="15.75" customHeight="1">
      <c r="A47" s="3" t="s">
        <v>113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75" customHeight="1">
      <c r="A48" s="62" t="s">
        <v>311</v>
      </c>
      <c r="B48" s="8">
        <v>230.0</v>
      </c>
      <c r="C48" s="8">
        <v>230.0</v>
      </c>
      <c r="D48" s="8">
        <v>230.0</v>
      </c>
      <c r="E48" s="8">
        <v>230.0</v>
      </c>
      <c r="F48" s="8">
        <v>230.0</v>
      </c>
      <c r="G48" s="8">
        <v>230.0</v>
      </c>
      <c r="H48" s="8">
        <v>230.0</v>
      </c>
      <c r="I48" s="8">
        <v>230.0</v>
      </c>
      <c r="J48" s="8">
        <v>230.0</v>
      </c>
      <c r="K48" s="8">
        <v>230.0</v>
      </c>
      <c r="L48" s="8">
        <v>230.0</v>
      </c>
      <c r="M48" s="8">
        <v>230.0</v>
      </c>
      <c r="N48" s="8"/>
      <c r="O48" s="8"/>
      <c r="P48" s="8"/>
      <c r="Q48" s="8"/>
      <c r="R48" s="8"/>
      <c r="S48" s="8"/>
      <c r="T48" s="8"/>
      <c r="U48" s="8"/>
      <c r="V48" s="8"/>
    </row>
    <row r="49" ht="15.75" customHeight="1">
      <c r="A49" s="3" t="s">
        <v>312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5.75" customHeight="1">
      <c r="A50" s="62" t="s">
        <v>313</v>
      </c>
      <c r="B50" s="8">
        <v>175.0</v>
      </c>
      <c r="C50" s="8">
        <v>175.0</v>
      </c>
      <c r="D50" s="8">
        <v>175.0</v>
      </c>
      <c r="E50" s="8">
        <v>175.0</v>
      </c>
      <c r="F50" s="8">
        <v>175.0</v>
      </c>
      <c r="G50" s="8">
        <v>175.0</v>
      </c>
      <c r="H50" s="8">
        <v>175.0</v>
      </c>
      <c r="I50" s="8">
        <v>175.0</v>
      </c>
      <c r="J50" s="8">
        <v>175.0</v>
      </c>
      <c r="K50" s="8">
        <v>175.0</v>
      </c>
      <c r="L50" s="8">
        <v>175.0</v>
      </c>
      <c r="M50" s="8">
        <v>175.0</v>
      </c>
      <c r="N50" s="8"/>
      <c r="O50" s="8"/>
      <c r="P50" s="8"/>
      <c r="Q50" s="8"/>
      <c r="R50" s="8"/>
      <c r="S50" s="8"/>
      <c r="T50" s="8"/>
      <c r="U50" s="8"/>
      <c r="V50" s="8"/>
    </row>
    <row r="51" ht="15.75" customHeight="1">
      <c r="A51" s="3" t="s">
        <v>53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5.75" customHeight="1">
      <c r="A52" s="62" t="s">
        <v>314</v>
      </c>
      <c r="B52" s="8">
        <v>350.0</v>
      </c>
      <c r="C52" s="8">
        <v>350.0</v>
      </c>
      <c r="D52" s="8">
        <v>350.0</v>
      </c>
      <c r="E52" s="8">
        <v>350.0</v>
      </c>
      <c r="F52" s="8">
        <v>350.0</v>
      </c>
      <c r="G52" s="8">
        <v>350.0</v>
      </c>
      <c r="H52" s="8">
        <v>350.0</v>
      </c>
      <c r="I52" s="8">
        <v>350.0</v>
      </c>
      <c r="J52" s="8">
        <v>350.0</v>
      </c>
      <c r="K52" s="8">
        <v>350.0</v>
      </c>
      <c r="L52" s="8">
        <v>350.0</v>
      </c>
      <c r="M52" s="8">
        <v>350.0</v>
      </c>
      <c r="N52" s="8"/>
      <c r="O52" s="8"/>
      <c r="P52" s="8"/>
      <c r="Q52" s="8"/>
      <c r="R52" s="8"/>
      <c r="S52" s="8"/>
      <c r="T52" s="8"/>
      <c r="U52" s="8"/>
      <c r="V52" s="8"/>
    </row>
    <row r="53" ht="15.75" customHeight="1">
      <c r="A53" s="7" t="s">
        <v>315</v>
      </c>
      <c r="B53" s="8">
        <v>500.0</v>
      </c>
      <c r="C53" s="8">
        <v>500.0</v>
      </c>
      <c r="D53" s="8">
        <v>500.0</v>
      </c>
      <c r="E53" s="8">
        <v>500.0</v>
      </c>
      <c r="F53" s="8">
        <v>500.0</v>
      </c>
      <c r="G53" s="8">
        <v>500.0</v>
      </c>
      <c r="H53" s="8">
        <v>500.0</v>
      </c>
      <c r="I53" s="8">
        <v>500.0</v>
      </c>
      <c r="J53" s="8">
        <v>500.0</v>
      </c>
      <c r="K53" s="8">
        <v>500.0</v>
      </c>
      <c r="L53" s="8">
        <v>500.0</v>
      </c>
      <c r="M53" s="8">
        <v>500.0</v>
      </c>
      <c r="N53" s="8"/>
      <c r="O53" s="8"/>
      <c r="P53" s="8"/>
      <c r="Q53" s="8"/>
      <c r="R53" s="8"/>
      <c r="S53" s="8"/>
      <c r="T53" s="8"/>
      <c r="U53" s="8"/>
      <c r="V53" s="8"/>
    </row>
    <row r="54" ht="15.75" customHeight="1">
      <c r="A54" s="3" t="s">
        <v>17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5.75" customHeight="1">
      <c r="A55" s="62" t="s">
        <v>316</v>
      </c>
      <c r="B55" s="8">
        <v>3500.0</v>
      </c>
      <c r="C55" s="8">
        <v>3500.0</v>
      </c>
      <c r="D55" s="8">
        <v>3500.0</v>
      </c>
      <c r="E55" s="8">
        <v>3500.0</v>
      </c>
      <c r="F55" s="8">
        <v>3500.0</v>
      </c>
      <c r="G55" s="8">
        <v>3500.0</v>
      </c>
      <c r="H55" s="8">
        <v>3500.0</v>
      </c>
      <c r="I55" s="8">
        <v>3500.0</v>
      </c>
      <c r="J55" s="8">
        <v>3500.0</v>
      </c>
      <c r="K55" s="8">
        <v>3500.0</v>
      </c>
      <c r="L55" s="8">
        <v>3500.0</v>
      </c>
      <c r="M55" s="8">
        <v>3500.0</v>
      </c>
      <c r="N55" s="8"/>
      <c r="O55" s="8"/>
      <c r="P55" s="8"/>
      <c r="Q55" s="8"/>
      <c r="R55" s="8"/>
      <c r="S55" s="8"/>
      <c r="T55" s="8"/>
      <c r="U55" s="8"/>
      <c r="V55" s="8"/>
    </row>
    <row r="56" ht="15.75" customHeight="1">
      <c r="A56" s="7" t="s">
        <v>317</v>
      </c>
      <c r="B56" s="8">
        <v>300.0</v>
      </c>
      <c r="C56" s="8">
        <v>300.0</v>
      </c>
      <c r="D56" s="8">
        <v>300.0</v>
      </c>
      <c r="E56" s="8">
        <v>300.0</v>
      </c>
      <c r="F56" s="8">
        <v>300.0</v>
      </c>
      <c r="G56" s="8">
        <v>300.0</v>
      </c>
      <c r="H56" s="8">
        <v>300.0</v>
      </c>
      <c r="I56" s="8">
        <v>300.0</v>
      </c>
      <c r="J56" s="8">
        <v>300.0</v>
      </c>
      <c r="K56" s="8">
        <v>300.0</v>
      </c>
      <c r="L56" s="8">
        <v>300.0</v>
      </c>
      <c r="M56" s="8">
        <v>300.0</v>
      </c>
      <c r="N56" s="8"/>
      <c r="O56" s="8"/>
      <c r="P56" s="8"/>
      <c r="Q56" s="8"/>
      <c r="R56" s="8"/>
      <c r="S56" s="8"/>
      <c r="T56" s="8"/>
      <c r="U56" s="8"/>
      <c r="V56" s="8"/>
    </row>
    <row r="57" ht="15.75" customHeight="1">
      <c r="A57" s="3" t="s">
        <v>140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5.75" customHeight="1">
      <c r="A58" s="62" t="s">
        <v>318</v>
      </c>
      <c r="B58" s="8">
        <v>150.0</v>
      </c>
      <c r="C58" s="8">
        <v>150.0</v>
      </c>
      <c r="D58" s="8">
        <v>150.0</v>
      </c>
      <c r="E58" s="8">
        <v>150.0</v>
      </c>
      <c r="F58" s="8">
        <v>150.0</v>
      </c>
      <c r="G58" s="8">
        <v>150.0</v>
      </c>
      <c r="H58" s="8">
        <v>150.0</v>
      </c>
      <c r="I58" s="8">
        <v>150.0</v>
      </c>
      <c r="J58" s="8">
        <v>150.0</v>
      </c>
      <c r="K58" s="8">
        <v>150.0</v>
      </c>
      <c r="L58" s="8">
        <v>150.0</v>
      </c>
      <c r="M58" s="8">
        <v>150.0</v>
      </c>
      <c r="N58" s="8"/>
      <c r="O58" s="8"/>
      <c r="P58" s="8"/>
      <c r="Q58" s="8"/>
      <c r="R58" s="8"/>
      <c r="S58" s="8"/>
      <c r="T58" s="8"/>
      <c r="U58" s="8"/>
      <c r="V58" s="8"/>
    </row>
    <row r="59" ht="15.75" customHeight="1">
      <c r="A59" s="62" t="s">
        <v>319</v>
      </c>
      <c r="B59" s="8">
        <v>150.0</v>
      </c>
      <c r="C59" s="8">
        <v>150.0</v>
      </c>
      <c r="D59" s="8">
        <v>150.0</v>
      </c>
      <c r="E59" s="8">
        <v>150.0</v>
      </c>
      <c r="F59" s="8">
        <v>150.0</v>
      </c>
      <c r="G59" s="8">
        <v>150.0</v>
      </c>
      <c r="H59" s="8">
        <v>150.0</v>
      </c>
      <c r="I59" s="8">
        <v>150.0</v>
      </c>
      <c r="J59" s="8">
        <v>150.0</v>
      </c>
      <c r="K59" s="8">
        <v>150.0</v>
      </c>
      <c r="L59" s="8">
        <v>0.0</v>
      </c>
      <c r="M59" s="8">
        <v>0.0</v>
      </c>
      <c r="N59" s="8"/>
      <c r="O59" s="8"/>
      <c r="P59" s="8"/>
      <c r="Q59" s="8"/>
      <c r="R59" s="8"/>
      <c r="S59" s="8"/>
      <c r="T59" s="8"/>
      <c r="U59" s="8"/>
      <c r="V59" s="8"/>
    </row>
    <row r="60" ht="15.75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5.75" customHeight="1">
      <c r="A61" s="3" t="s">
        <v>320</v>
      </c>
      <c r="B61" s="8">
        <f t="shared" ref="B61:M61" si="7">SUM(B25:B59)</f>
        <v>40409.16</v>
      </c>
      <c r="C61" s="8">
        <f t="shared" si="7"/>
        <v>40488.16</v>
      </c>
      <c r="D61" s="8">
        <f t="shared" si="7"/>
        <v>40488.16</v>
      </c>
      <c r="E61" s="8">
        <f t="shared" si="7"/>
        <v>40488.16</v>
      </c>
      <c r="F61" s="8">
        <f t="shared" si="7"/>
        <v>40488.16</v>
      </c>
      <c r="G61" s="8">
        <f t="shared" si="7"/>
        <v>40488.16</v>
      </c>
      <c r="H61" s="8">
        <f t="shared" si="7"/>
        <v>40488.16</v>
      </c>
      <c r="I61" s="8">
        <f t="shared" si="7"/>
        <v>40488.16</v>
      </c>
      <c r="J61" s="8">
        <f t="shared" si="7"/>
        <v>40488.16</v>
      </c>
      <c r="K61" s="8">
        <f t="shared" si="7"/>
        <v>43088.16</v>
      </c>
      <c r="L61" s="8">
        <f t="shared" si="7"/>
        <v>40338.16</v>
      </c>
      <c r="M61" s="8">
        <f t="shared" si="7"/>
        <v>40538.24</v>
      </c>
      <c r="N61" s="8"/>
      <c r="O61" s="8"/>
      <c r="P61" s="8"/>
      <c r="Q61" s="8"/>
      <c r="R61" s="8"/>
      <c r="S61" s="8"/>
      <c r="T61" s="8"/>
      <c r="U61" s="8"/>
      <c r="V61" s="8"/>
    </row>
    <row r="62" ht="15.75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5.75" customHeight="1">
      <c r="A63" s="3" t="s">
        <v>321</v>
      </c>
      <c r="B63" s="8">
        <f t="shared" ref="B63:M63" si="8">B23-B61</f>
        <v>-36909.16</v>
      </c>
      <c r="C63" s="8">
        <f t="shared" si="8"/>
        <v>-40488.16</v>
      </c>
      <c r="D63" s="8">
        <f t="shared" si="8"/>
        <v>-40488.16</v>
      </c>
      <c r="E63" s="8">
        <f t="shared" si="8"/>
        <v>-40488.16</v>
      </c>
      <c r="F63" s="8">
        <f t="shared" si="8"/>
        <v>-40488.16</v>
      </c>
      <c r="G63" s="8">
        <f t="shared" si="8"/>
        <v>-40488.16</v>
      </c>
      <c r="H63" s="8">
        <f t="shared" si="8"/>
        <v>-40488.16</v>
      </c>
      <c r="I63" s="8">
        <f t="shared" si="8"/>
        <v>-40488.16</v>
      </c>
      <c r="J63" s="8">
        <f t="shared" si="8"/>
        <v>-40488.16</v>
      </c>
      <c r="K63" s="8">
        <f t="shared" si="8"/>
        <v>-43088.16</v>
      </c>
      <c r="L63" s="8">
        <f t="shared" si="8"/>
        <v>-40338.16</v>
      </c>
      <c r="M63" s="8">
        <f t="shared" si="8"/>
        <v>-40538.24</v>
      </c>
      <c r="N63" s="8"/>
      <c r="O63" s="8"/>
      <c r="P63" s="8"/>
      <c r="Q63" s="8"/>
      <c r="R63" s="8"/>
      <c r="S63" s="8"/>
      <c r="T63" s="8"/>
      <c r="U63" s="8"/>
      <c r="V63" s="8"/>
    </row>
    <row r="64" ht="15.75" customHeigh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ht="15.75" customHeigh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ht="15.75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ht="15.75" customHeigh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ht="15.75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ht="15.75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ht="15.75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ht="15.75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ht="15.75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ht="15.75" customHeigh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ht="15.75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ht="15.75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ht="15.75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ht="15.75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ht="15.75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ht="15.75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ht="15.75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ht="15.75" customHeigh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ht="15.75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ht="15.75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ht="15.75" customHeigh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ht="15.75" customHeigh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ht="15.75" customHeigh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ht="15.75" customHeigh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ht="15.75" customHeigh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ht="15.75" customHeigh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ht="15.75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ht="15.75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ht="15.75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ht="15.75" customHeigh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ht="15.75" customHeigh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ht="15.75" customHeight="1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ht="15.75" customHeight="1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ht="15.75" customHeight="1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ht="15.75" customHeigh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ht="15.75" customHeigh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ht="15.75" customHeigh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ht="15.75" customHeight="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ht="15.75" customHeight="1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ht="15.75" customHeight="1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ht="15.75" customHeight="1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ht="15.75" customHeight="1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ht="15.75" customHeight="1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ht="15.75" customHeight="1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ht="15.75" customHeight="1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ht="15.75" customHeight="1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ht="15.75" customHeight="1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ht="15.75" customHeight="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ht="15.75" customHeigh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ht="15.75" customHeight="1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ht="15.75" customHeight="1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ht="15.75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ht="15.75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ht="15.75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ht="15.75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ht="15.75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ht="15.75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ht="15.75" customHeight="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ht="15.75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ht="15.75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ht="15.75" customHeight="1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ht="15.75" customHeight="1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ht="15.75" customHeigh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ht="15.75" customHeight="1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ht="15.75" customHeight="1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ht="15.75" customHeight="1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ht="15.75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ht="15.75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ht="15.75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ht="15.75" customHeight="1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ht="15.75" customHeight="1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ht="15.75" customHeight="1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ht="15.75" customHeight="1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ht="15.75" customHeight="1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ht="15.75" customHeight="1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ht="15.75" customHeight="1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ht="15.75" customHeight="1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ht="15.75" customHeight="1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ht="15.75" customHeight="1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ht="15.75" customHeight="1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ht="15.75" customHeight="1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ht="15.75" customHeight="1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4.38"/>
    <col customWidth="1" min="3" max="3" width="14.0"/>
    <col customWidth="1" min="4" max="4" width="21.38"/>
    <col customWidth="1" min="5" max="6" width="12.63"/>
  </cols>
  <sheetData>
    <row r="1" ht="15.75" customHeight="1">
      <c r="A1" s="3" t="s">
        <v>322</v>
      </c>
      <c r="B1" s="3" t="s">
        <v>323</v>
      </c>
      <c r="C1" s="3" t="s">
        <v>324</v>
      </c>
      <c r="D1" s="3" t="s">
        <v>325</v>
      </c>
    </row>
    <row r="2" ht="15.75" customHeight="1">
      <c r="A2" s="21" t="s">
        <v>281</v>
      </c>
    </row>
    <row r="3" ht="15.75" customHeight="1">
      <c r="A3" s="21" t="s">
        <v>282</v>
      </c>
    </row>
    <row r="4" ht="15.75" customHeight="1">
      <c r="A4" s="21" t="s">
        <v>283</v>
      </c>
    </row>
    <row r="5" ht="15.75" customHeight="1">
      <c r="A5" s="21" t="s">
        <v>284</v>
      </c>
    </row>
    <row r="6" ht="15.75" customHeight="1">
      <c r="A6" s="21" t="s">
        <v>285</v>
      </c>
    </row>
    <row r="7" ht="15.75" customHeight="1">
      <c r="A7" s="21" t="s">
        <v>286</v>
      </c>
    </row>
    <row r="8" ht="15.75" customHeight="1">
      <c r="A8" s="21" t="s">
        <v>287</v>
      </c>
    </row>
    <row r="9" ht="15.75" customHeight="1">
      <c r="A9" s="21" t="s">
        <v>88</v>
      </c>
    </row>
    <row r="10" ht="15.75" customHeight="1">
      <c r="A10" s="21" t="s">
        <v>89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2.0"/>
    <col customWidth="1" min="3" max="6" width="16.0"/>
    <col customWidth="1" min="7" max="7" width="13.25"/>
  </cols>
  <sheetData>
    <row r="1" ht="15.75" customHeight="1">
      <c r="A1" s="7" t="s">
        <v>326</v>
      </c>
    </row>
    <row r="2" ht="15.75" customHeight="1"/>
    <row r="3" ht="15.75" customHeight="1"/>
    <row r="4" ht="15.75" customHeight="1"/>
    <row r="5" ht="15.75" customHeight="1">
      <c r="A5" s="3" t="s">
        <v>327</v>
      </c>
      <c r="B5" s="3" t="s">
        <v>328</v>
      </c>
      <c r="C5" s="3" t="s">
        <v>54</v>
      </c>
      <c r="D5" s="3" t="s">
        <v>329</v>
      </c>
      <c r="E5" s="3" t="s">
        <v>330</v>
      </c>
      <c r="F5" s="3" t="s">
        <v>331</v>
      </c>
      <c r="G5" s="3" t="s">
        <v>332</v>
      </c>
      <c r="H5" s="3"/>
    </row>
    <row r="6" ht="15.75" customHeight="1">
      <c r="A6" s="7" t="s">
        <v>333</v>
      </c>
      <c r="B6" s="7" t="s">
        <v>334</v>
      </c>
    </row>
    <row r="7" ht="15.75" customHeight="1">
      <c r="A7" s="7" t="s">
        <v>335</v>
      </c>
      <c r="B7" s="7" t="s">
        <v>182</v>
      </c>
    </row>
    <row r="8" ht="15.75" customHeight="1">
      <c r="A8" s="7" t="s">
        <v>336</v>
      </c>
      <c r="B8" s="7" t="s">
        <v>337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Col="2"/>
  <cols>
    <col customWidth="1" min="1" max="1" width="25.0"/>
    <col customWidth="1" min="2" max="2" width="30.0"/>
    <col customWidth="1" min="3" max="3" width="23.13" outlineLevel="2"/>
    <col customWidth="1" min="4" max="5" width="12.63"/>
    <col customWidth="1" min="6" max="6" width="14.88"/>
    <col customWidth="1" min="10" max="10" width="40.75"/>
    <col customWidth="1" min="11" max="11" width="33.13"/>
  </cols>
  <sheetData>
    <row r="1" ht="15.75" customHeight="1"/>
    <row r="2" ht="15.75" customHeight="1">
      <c r="A2" s="7" t="s">
        <v>338</v>
      </c>
    </row>
    <row r="3" ht="15.75" customHeight="1"/>
    <row r="4" ht="15.75" customHeight="1">
      <c r="A4" s="63" t="s">
        <v>339</v>
      </c>
      <c r="B4" s="63" t="s">
        <v>340</v>
      </c>
      <c r="C4" s="63" t="s">
        <v>341</v>
      </c>
      <c r="D4" s="63" t="s">
        <v>342</v>
      </c>
      <c r="E4" s="63" t="s">
        <v>343</v>
      </c>
      <c r="F4" s="63" t="s">
        <v>344</v>
      </c>
      <c r="G4" s="63" t="s">
        <v>345</v>
      </c>
      <c r="H4" s="63" t="s">
        <v>346</v>
      </c>
      <c r="I4" s="63" t="s">
        <v>346</v>
      </c>
      <c r="J4" s="63" t="s">
        <v>329</v>
      </c>
      <c r="K4" s="63" t="s">
        <v>347</v>
      </c>
      <c r="L4" s="63" t="s">
        <v>348</v>
      </c>
      <c r="M4" s="63" t="s">
        <v>349</v>
      </c>
      <c r="N4" s="63" t="s">
        <v>350</v>
      </c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</row>
    <row r="5" ht="15.75" customHeight="1">
      <c r="A5" s="7" t="s">
        <v>351</v>
      </c>
      <c r="B5" s="7"/>
      <c r="C5" s="7" t="s">
        <v>180</v>
      </c>
      <c r="D5" s="7" t="s">
        <v>352</v>
      </c>
      <c r="E5" s="7" t="s">
        <v>352</v>
      </c>
      <c r="F5" s="7" t="s">
        <v>353</v>
      </c>
      <c r="G5" s="7" t="s">
        <v>352</v>
      </c>
      <c r="H5" s="7">
        <v>7.743441366E9</v>
      </c>
      <c r="I5" s="7"/>
      <c r="J5" s="7"/>
      <c r="K5" s="7" t="s">
        <v>354</v>
      </c>
      <c r="M5" s="7" t="s">
        <v>355</v>
      </c>
    </row>
    <row r="6" ht="15.75" customHeight="1">
      <c r="A6" s="22" t="s">
        <v>356</v>
      </c>
      <c r="B6" s="22" t="s">
        <v>357</v>
      </c>
      <c r="C6" s="22" t="s">
        <v>182</v>
      </c>
      <c r="D6" s="22" t="s">
        <v>353</v>
      </c>
      <c r="E6" s="22" t="s">
        <v>352</v>
      </c>
      <c r="F6" s="22" t="s">
        <v>353</v>
      </c>
      <c r="G6" s="22" t="s">
        <v>352</v>
      </c>
      <c r="H6" s="22">
        <v>7.089689806E9</v>
      </c>
      <c r="I6" s="22"/>
      <c r="J6" s="22" t="s">
        <v>358</v>
      </c>
      <c r="K6" s="22" t="s">
        <v>359</v>
      </c>
      <c r="L6" s="22"/>
      <c r="M6" s="22" t="s">
        <v>352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15.75" customHeight="1">
      <c r="A7" s="7" t="s">
        <v>360</v>
      </c>
      <c r="B7" s="7" t="s">
        <v>361</v>
      </c>
      <c r="C7" s="7" t="s">
        <v>180</v>
      </c>
      <c r="D7" s="7" t="s">
        <v>353</v>
      </c>
      <c r="E7" s="7" t="s">
        <v>352</v>
      </c>
      <c r="F7" s="7" t="s">
        <v>353</v>
      </c>
      <c r="G7" s="7" t="s">
        <v>352</v>
      </c>
      <c r="H7" s="7">
        <v>8.475614731E9</v>
      </c>
      <c r="J7" s="7" t="s">
        <v>362</v>
      </c>
      <c r="K7" s="7" t="s">
        <v>363</v>
      </c>
      <c r="M7" s="7" t="s">
        <v>352</v>
      </c>
    </row>
    <row r="8" ht="15.75" customHeight="1">
      <c r="A8" s="22" t="s">
        <v>364</v>
      </c>
      <c r="B8" s="22" t="s">
        <v>365</v>
      </c>
      <c r="C8" s="22" t="s">
        <v>180</v>
      </c>
      <c r="D8" s="22" t="s">
        <v>353</v>
      </c>
      <c r="E8" s="22" t="s">
        <v>353</v>
      </c>
      <c r="F8" s="22" t="s">
        <v>353</v>
      </c>
      <c r="G8" s="22" t="s">
        <v>352</v>
      </c>
      <c r="H8" s="22">
        <v>3.123639768E9</v>
      </c>
      <c r="I8" s="22"/>
      <c r="J8" s="22" t="s">
        <v>366</v>
      </c>
      <c r="K8" s="22" t="s">
        <v>367</v>
      </c>
      <c r="L8" s="22"/>
      <c r="M8" s="22" t="s">
        <v>353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ht="15.75" customHeight="1">
      <c r="A9" s="7" t="s">
        <v>368</v>
      </c>
      <c r="B9" s="7" t="s">
        <v>369</v>
      </c>
      <c r="C9" s="7" t="s">
        <v>182</v>
      </c>
      <c r="D9" s="7" t="s">
        <v>353</v>
      </c>
      <c r="E9" s="7" t="s">
        <v>370</v>
      </c>
      <c r="F9" s="7" t="s">
        <v>353</v>
      </c>
      <c r="G9" s="7" t="s">
        <v>353</v>
      </c>
      <c r="H9" s="7">
        <v>7.732061341E9</v>
      </c>
      <c r="K9" s="7" t="s">
        <v>371</v>
      </c>
      <c r="M9" s="7" t="s">
        <v>352</v>
      </c>
    </row>
    <row r="10" ht="15.75" customHeight="1">
      <c r="A10" s="22" t="s">
        <v>372</v>
      </c>
      <c r="B10" s="64" t="s">
        <v>373</v>
      </c>
      <c r="C10" s="22" t="s">
        <v>180</v>
      </c>
      <c r="D10" s="22" t="s">
        <v>353</v>
      </c>
      <c r="E10" s="22" t="s">
        <v>352</v>
      </c>
      <c r="F10" s="22" t="s">
        <v>353</v>
      </c>
      <c r="G10" s="22" t="s">
        <v>352</v>
      </c>
      <c r="H10" s="22">
        <v>7.792089866E9</v>
      </c>
      <c r="I10" s="22"/>
      <c r="J10" s="22"/>
      <c r="K10" s="22" t="s">
        <v>374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ht="15.75" customHeight="1">
      <c r="A11" s="7" t="s">
        <v>375</v>
      </c>
      <c r="B11" s="7" t="s">
        <v>376</v>
      </c>
      <c r="C11" s="7" t="s">
        <v>377</v>
      </c>
      <c r="D11" s="7" t="s">
        <v>352</v>
      </c>
      <c r="E11" s="7" t="s">
        <v>352</v>
      </c>
      <c r="F11" s="7" t="s">
        <v>352</v>
      </c>
      <c r="G11" s="7" t="s">
        <v>352</v>
      </c>
      <c r="H11" s="7">
        <v>7.732260788E9</v>
      </c>
      <c r="K11" s="7" t="s">
        <v>378</v>
      </c>
      <c r="M11" s="7" t="s">
        <v>352</v>
      </c>
    </row>
    <row r="12" ht="15.75" customHeight="1">
      <c r="A12" s="22" t="s">
        <v>379</v>
      </c>
      <c r="B12" s="22" t="s">
        <v>380</v>
      </c>
      <c r="C12" s="22" t="s">
        <v>381</v>
      </c>
      <c r="D12" s="22" t="s">
        <v>353</v>
      </c>
      <c r="E12" s="22" t="s">
        <v>352</v>
      </c>
      <c r="F12" s="22" t="s">
        <v>352</v>
      </c>
      <c r="G12" s="22" t="s">
        <v>352</v>
      </c>
      <c r="H12" s="22">
        <v>7.083570511E9</v>
      </c>
      <c r="I12" s="22"/>
      <c r="J12" s="22"/>
      <c r="K12" s="22" t="s">
        <v>382</v>
      </c>
      <c r="L12" s="22"/>
      <c r="M12" s="22" t="s">
        <v>352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ht="15.75" customHeight="1">
      <c r="A13" s="7" t="s">
        <v>383</v>
      </c>
      <c r="B13" s="7" t="s">
        <v>384</v>
      </c>
      <c r="C13" s="7" t="s">
        <v>385</v>
      </c>
      <c r="D13" s="7" t="s">
        <v>353</v>
      </c>
      <c r="E13" s="7" t="s">
        <v>352</v>
      </c>
      <c r="F13" s="7" t="s">
        <v>352</v>
      </c>
      <c r="G13" s="7" t="s">
        <v>352</v>
      </c>
      <c r="H13" s="7">
        <v>5.867139893E9</v>
      </c>
      <c r="K13" s="7" t="s">
        <v>386</v>
      </c>
      <c r="M13" s="7" t="s">
        <v>352</v>
      </c>
    </row>
    <row r="14" ht="15.75" customHeight="1">
      <c r="A14" s="22" t="s">
        <v>387</v>
      </c>
      <c r="B14" s="22" t="s">
        <v>388</v>
      </c>
      <c r="C14" s="22" t="s">
        <v>389</v>
      </c>
      <c r="D14" s="22" t="s">
        <v>353</v>
      </c>
      <c r="E14" s="22" t="s">
        <v>352</v>
      </c>
      <c r="F14" s="22" t="s">
        <v>353</v>
      </c>
      <c r="G14" s="22" t="s">
        <v>353</v>
      </c>
      <c r="H14" s="22">
        <v>2.24386588E9</v>
      </c>
      <c r="I14" s="22"/>
      <c r="J14" s="22" t="s">
        <v>390</v>
      </c>
      <c r="K14" s="22" t="s">
        <v>391</v>
      </c>
      <c r="L14" s="22"/>
      <c r="M14" s="22" t="s">
        <v>352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ht="15.75" customHeight="1">
      <c r="A15" s="21" t="s">
        <v>392</v>
      </c>
      <c r="B15" s="21" t="s">
        <v>388</v>
      </c>
      <c r="C15" s="21" t="s">
        <v>393</v>
      </c>
      <c r="D15" s="21"/>
      <c r="E15" s="21"/>
      <c r="F15" s="21"/>
      <c r="G15" s="21"/>
      <c r="H15" s="21">
        <v>7.735623506E9</v>
      </c>
      <c r="I15" s="21"/>
      <c r="J15" s="21"/>
      <c r="K15" s="21" t="s">
        <v>394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5.75" customHeight="1">
      <c r="A16" s="7" t="s">
        <v>395</v>
      </c>
      <c r="B16" s="7" t="s">
        <v>396</v>
      </c>
      <c r="C16" s="7" t="s">
        <v>397</v>
      </c>
      <c r="D16" s="7" t="s">
        <v>352</v>
      </c>
      <c r="E16" s="7" t="s">
        <v>352</v>
      </c>
      <c r="F16" s="7" t="s">
        <v>352</v>
      </c>
      <c r="G16" s="7" t="s">
        <v>352</v>
      </c>
      <c r="H16" s="7">
        <v>6.304808149E9</v>
      </c>
      <c r="K16" s="7" t="s">
        <v>398</v>
      </c>
      <c r="M16" s="7" t="s">
        <v>353</v>
      </c>
    </row>
    <row r="17" ht="15.75" customHeight="1">
      <c r="A17" s="22" t="s">
        <v>399</v>
      </c>
      <c r="B17" s="22" t="s">
        <v>396</v>
      </c>
      <c r="C17" s="22" t="s">
        <v>400</v>
      </c>
      <c r="D17" s="22" t="s">
        <v>352</v>
      </c>
      <c r="E17" s="22" t="s">
        <v>352</v>
      </c>
      <c r="F17" s="22" t="s">
        <v>352</v>
      </c>
      <c r="G17" s="22" t="s">
        <v>352</v>
      </c>
      <c r="H17" s="22">
        <v>3.123162259E9</v>
      </c>
      <c r="I17" s="22"/>
      <c r="J17" s="22"/>
      <c r="K17" s="22" t="s">
        <v>401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15.75" customHeight="1">
      <c r="A18" s="7" t="s">
        <v>402</v>
      </c>
      <c r="B18" s="7" t="s">
        <v>403</v>
      </c>
      <c r="C18" s="7" t="s">
        <v>404</v>
      </c>
      <c r="H18" s="7">
        <v>2.242812245E9</v>
      </c>
      <c r="K18" s="7" t="s">
        <v>405</v>
      </c>
    </row>
    <row r="19" ht="15.75" customHeight="1">
      <c r="A19" s="22" t="s">
        <v>406</v>
      </c>
      <c r="B19" s="22" t="s">
        <v>407</v>
      </c>
      <c r="C19" s="22" t="s">
        <v>408</v>
      </c>
      <c r="D19" s="22"/>
      <c r="E19" s="22"/>
      <c r="F19" s="22"/>
      <c r="G19" s="22"/>
      <c r="H19" s="22">
        <v>4.696421159E9</v>
      </c>
      <c r="I19" s="22"/>
      <c r="J19" s="22"/>
      <c r="K19" s="22" t="s">
        <v>409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ht="15.75" customHeight="1">
      <c r="A20" s="7" t="s">
        <v>410</v>
      </c>
      <c r="B20" s="7" t="s">
        <v>403</v>
      </c>
      <c r="C20" s="7" t="s">
        <v>411</v>
      </c>
      <c r="H20" s="7">
        <v>6.303302602E9</v>
      </c>
      <c r="K20" s="7" t="s">
        <v>412</v>
      </c>
    </row>
    <row r="21" ht="15.75" customHeight="1">
      <c r="A21" s="22" t="s">
        <v>413</v>
      </c>
      <c r="B21" s="22" t="s">
        <v>403</v>
      </c>
      <c r="C21" s="22" t="s">
        <v>414</v>
      </c>
      <c r="D21" s="22"/>
      <c r="E21" s="22"/>
      <c r="F21" s="22"/>
      <c r="G21" s="22"/>
      <c r="H21" s="22">
        <v>7.08831307E9</v>
      </c>
      <c r="I21" s="22"/>
      <c r="J21" s="22"/>
      <c r="K21" s="22" t="s">
        <v>415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ht="15.75" customHeight="1">
      <c r="A22" s="7" t="s">
        <v>416</v>
      </c>
      <c r="B22" s="7" t="s">
        <v>403</v>
      </c>
      <c r="C22" s="7" t="s">
        <v>414</v>
      </c>
      <c r="K22" s="7" t="s">
        <v>417</v>
      </c>
    </row>
    <row r="23" ht="15.75" customHeight="1">
      <c r="A23" s="22" t="s">
        <v>418</v>
      </c>
      <c r="B23" s="22" t="s">
        <v>403</v>
      </c>
      <c r="C23" s="22" t="s">
        <v>419</v>
      </c>
      <c r="D23" s="22"/>
      <c r="E23" s="22"/>
      <c r="F23" s="22"/>
      <c r="G23" s="22"/>
      <c r="H23" s="22"/>
      <c r="I23" s="22"/>
      <c r="J23" s="22"/>
      <c r="K23" s="22" t="s">
        <v>420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 ht="15.75" customHeight="1">
      <c r="A24" s="7" t="s">
        <v>421</v>
      </c>
      <c r="B24" s="7" t="s">
        <v>422</v>
      </c>
      <c r="C24" s="7" t="s">
        <v>423</v>
      </c>
      <c r="H24" s="7">
        <v>3.124501119E9</v>
      </c>
      <c r="K24" s="7" t="s">
        <v>424</v>
      </c>
    </row>
    <row r="25" ht="15.75" customHeight="1">
      <c r="A25" s="22" t="s">
        <v>425</v>
      </c>
      <c r="B25" s="22" t="s">
        <v>426</v>
      </c>
      <c r="C25" s="22" t="s">
        <v>427</v>
      </c>
      <c r="D25" s="22" t="s">
        <v>353</v>
      </c>
      <c r="E25" s="22" t="s">
        <v>352</v>
      </c>
      <c r="F25" s="22" t="s">
        <v>353</v>
      </c>
      <c r="G25" s="22" t="s">
        <v>352</v>
      </c>
      <c r="H25" s="22">
        <v>7.733924546E9</v>
      </c>
      <c r="I25" s="22"/>
      <c r="J25" s="22"/>
      <c r="K25" s="22" t="s">
        <v>428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ht="15.75" customHeight="1">
      <c r="A26" s="7" t="s">
        <v>429</v>
      </c>
      <c r="B26" s="7" t="s">
        <v>430</v>
      </c>
      <c r="C26" s="7" t="s">
        <v>431</v>
      </c>
      <c r="H26" s="7">
        <v>1.3125158781E10</v>
      </c>
      <c r="K26" s="7" t="s">
        <v>432</v>
      </c>
    </row>
    <row r="27" ht="15.75" customHeight="1">
      <c r="A27" s="22" t="s">
        <v>336</v>
      </c>
      <c r="B27" s="22" t="s">
        <v>433</v>
      </c>
      <c r="C27" s="22" t="s">
        <v>434</v>
      </c>
      <c r="D27" s="22" t="s">
        <v>353</v>
      </c>
      <c r="E27" s="22" t="s">
        <v>353</v>
      </c>
      <c r="F27" s="22" t="s">
        <v>353</v>
      </c>
      <c r="G27" s="22" t="s">
        <v>353</v>
      </c>
      <c r="H27" s="22">
        <v>1.7738958715E10</v>
      </c>
      <c r="I27" s="22"/>
      <c r="J27" s="22"/>
      <c r="K27" s="22" t="s">
        <v>435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 ht="15.75" customHeight="1">
      <c r="A28" s="7" t="s">
        <v>436</v>
      </c>
      <c r="B28" s="7" t="s">
        <v>437</v>
      </c>
      <c r="C28" s="7" t="s">
        <v>438</v>
      </c>
      <c r="H28" s="7">
        <v>1.7089554643E10</v>
      </c>
      <c r="K28" s="7" t="s">
        <v>439</v>
      </c>
    </row>
    <row r="29" ht="15.75" customHeight="1">
      <c r="A29" s="65" t="s">
        <v>440</v>
      </c>
      <c r="B29" s="65" t="s">
        <v>441</v>
      </c>
      <c r="C29" s="65" t="s">
        <v>442</v>
      </c>
      <c r="D29" s="65"/>
      <c r="E29" s="65"/>
      <c r="F29" s="65"/>
      <c r="G29" s="65"/>
      <c r="H29" s="65">
        <v>7.086296182E9</v>
      </c>
      <c r="I29" s="65"/>
      <c r="J29" s="65"/>
      <c r="K29" s="65" t="s">
        <v>443</v>
      </c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</row>
    <row r="30" ht="15.75" customHeight="1">
      <c r="A30" s="7" t="s">
        <v>444</v>
      </c>
      <c r="B30" s="7" t="s">
        <v>445</v>
      </c>
      <c r="C30" s="7" t="s">
        <v>434</v>
      </c>
      <c r="H30" s="7">
        <v>7.085458115E9</v>
      </c>
      <c r="K30" s="7" t="s">
        <v>446</v>
      </c>
    </row>
    <row r="31" ht="15.75" customHeight="1">
      <c r="A31" s="65" t="s">
        <v>447</v>
      </c>
      <c r="B31" s="65" t="s">
        <v>448</v>
      </c>
      <c r="C31" s="65" t="s">
        <v>449</v>
      </c>
      <c r="D31" s="65" t="s">
        <v>353</v>
      </c>
      <c r="E31" s="65" t="s">
        <v>352</v>
      </c>
      <c r="F31" s="65" t="s">
        <v>353</v>
      </c>
      <c r="G31" s="65" t="s">
        <v>353</v>
      </c>
      <c r="H31" s="65">
        <v>9.175672853E9</v>
      </c>
      <c r="I31" s="65"/>
      <c r="J31" s="65" t="s">
        <v>450</v>
      </c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</row>
    <row r="32" ht="15.75" customHeight="1">
      <c r="A32" s="7" t="s">
        <v>451</v>
      </c>
      <c r="C32" s="7" t="s">
        <v>452</v>
      </c>
      <c r="H32" s="7">
        <v>7.733870887E9</v>
      </c>
    </row>
    <row r="33" ht="15.75" customHeight="1">
      <c r="A33" s="65" t="s">
        <v>453</v>
      </c>
      <c r="B33" s="65" t="s">
        <v>454</v>
      </c>
      <c r="C33" s="65" t="s">
        <v>455</v>
      </c>
      <c r="D33" s="65"/>
      <c r="E33" s="65"/>
      <c r="F33" s="65"/>
      <c r="G33" s="65"/>
      <c r="H33" s="65">
        <v>7.08590756E9</v>
      </c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</row>
    <row r="34" ht="15.75" customHeight="1">
      <c r="A34" s="7" t="s">
        <v>456</v>
      </c>
      <c r="B34" s="7" t="s">
        <v>457</v>
      </c>
      <c r="C34" s="7" t="s">
        <v>458</v>
      </c>
      <c r="H34" s="7">
        <v>6.3028018E9</v>
      </c>
      <c r="J34" s="7" t="s">
        <v>459</v>
      </c>
      <c r="K34" s="7" t="s">
        <v>460</v>
      </c>
    </row>
    <row r="35" ht="15.75" customHeight="1">
      <c r="A35" s="65" t="s">
        <v>461</v>
      </c>
      <c r="B35" s="65" t="s">
        <v>462</v>
      </c>
      <c r="C35" s="65" t="s">
        <v>463</v>
      </c>
      <c r="D35" s="65"/>
      <c r="E35" s="65"/>
      <c r="F35" s="65"/>
      <c r="G35" s="65"/>
      <c r="H35" s="65">
        <v>8.478600082E9</v>
      </c>
      <c r="I35" s="65"/>
      <c r="J35" s="65" t="s">
        <v>464</v>
      </c>
      <c r="K35" s="65" t="s">
        <v>465</v>
      </c>
      <c r="L35" s="65"/>
      <c r="M35" s="65"/>
      <c r="N35" s="65" t="s">
        <v>466</v>
      </c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</row>
    <row r="36" ht="15.75" customHeight="1">
      <c r="A36" s="7" t="s">
        <v>467</v>
      </c>
      <c r="B36" s="7" t="s">
        <v>468</v>
      </c>
      <c r="C36" s="7" t="s">
        <v>463</v>
      </c>
      <c r="H36" s="7">
        <v>8.478600082E9</v>
      </c>
      <c r="J36" s="7" t="s">
        <v>464</v>
      </c>
      <c r="K36" s="7" t="s">
        <v>469</v>
      </c>
      <c r="N36" s="7" t="s">
        <v>466</v>
      </c>
    </row>
    <row r="37" ht="15.75" customHeight="1">
      <c r="A37" s="65" t="s">
        <v>470</v>
      </c>
      <c r="B37" s="65" t="s">
        <v>471</v>
      </c>
      <c r="C37" s="65" t="s">
        <v>180</v>
      </c>
      <c r="D37" s="65" t="s">
        <v>353</v>
      </c>
      <c r="E37" s="65" t="s">
        <v>353</v>
      </c>
      <c r="F37" s="65" t="s">
        <v>353</v>
      </c>
      <c r="G37" s="65" t="s">
        <v>352</v>
      </c>
      <c r="H37" s="65">
        <v>7.733549693E9</v>
      </c>
      <c r="I37" s="65"/>
      <c r="J37" s="65"/>
      <c r="K37" s="65" t="s">
        <v>472</v>
      </c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</row>
    <row r="38" ht="15.75" customHeight="1">
      <c r="A38" s="7" t="s">
        <v>473</v>
      </c>
      <c r="B38" s="7" t="s">
        <v>474</v>
      </c>
      <c r="C38" s="7" t="s">
        <v>475</v>
      </c>
      <c r="D38" s="7" t="s">
        <v>352</v>
      </c>
      <c r="E38" s="7" t="s">
        <v>352</v>
      </c>
      <c r="F38" s="7" t="s">
        <v>352</v>
      </c>
      <c r="G38" s="7" t="s">
        <v>352</v>
      </c>
      <c r="H38" s="7">
        <v>4.642630443E9</v>
      </c>
    </row>
    <row r="39" ht="15.75" customHeight="1">
      <c r="A39" s="65" t="s">
        <v>476</v>
      </c>
      <c r="B39" s="65" t="s">
        <v>477</v>
      </c>
      <c r="C39" s="65" t="s">
        <v>478</v>
      </c>
      <c r="D39" s="65"/>
      <c r="E39" s="65"/>
      <c r="F39" s="65"/>
      <c r="G39" s="65"/>
      <c r="H39" s="65">
        <v>8.889809119E9</v>
      </c>
      <c r="I39" s="65"/>
      <c r="J39" s="65"/>
      <c r="K39" s="65" t="s">
        <v>479</v>
      </c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</row>
    <row r="40" ht="15.75" customHeight="1">
      <c r="A40" s="7" t="s">
        <v>480</v>
      </c>
      <c r="B40" s="7" t="s">
        <v>481</v>
      </c>
      <c r="C40" s="7" t="s">
        <v>482</v>
      </c>
      <c r="H40" s="7">
        <v>9.3753425E9</v>
      </c>
    </row>
    <row r="41" ht="15.75" customHeight="1">
      <c r="A41" s="65" t="s">
        <v>483</v>
      </c>
      <c r="B41" s="65" t="s">
        <v>396</v>
      </c>
      <c r="C41" s="65" t="s">
        <v>484</v>
      </c>
      <c r="D41" s="65"/>
      <c r="E41" s="65"/>
      <c r="F41" s="65"/>
      <c r="G41" s="65"/>
      <c r="H41" s="65">
        <v>9.549143521E9</v>
      </c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</row>
    <row r="42" ht="15.75" customHeight="1">
      <c r="A42" s="7" t="s">
        <v>485</v>
      </c>
      <c r="B42" s="7" t="s">
        <v>486</v>
      </c>
      <c r="C42" s="7" t="s">
        <v>487</v>
      </c>
      <c r="H42" s="7">
        <v>6.308094307E9</v>
      </c>
      <c r="I42" s="7">
        <v>7.739884557E9</v>
      </c>
    </row>
    <row r="43" ht="15.75" customHeight="1">
      <c r="A43" s="65" t="s">
        <v>488</v>
      </c>
      <c r="B43" s="65" t="s">
        <v>489</v>
      </c>
      <c r="C43" s="65" t="s">
        <v>434</v>
      </c>
      <c r="D43" s="65" t="s">
        <v>353</v>
      </c>
      <c r="E43" s="65" t="s">
        <v>352</v>
      </c>
      <c r="F43" s="65" t="s">
        <v>352</v>
      </c>
      <c r="G43" s="65" t="s">
        <v>352</v>
      </c>
      <c r="H43" s="65">
        <v>7.733103097E9</v>
      </c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</row>
    <row r="44" ht="15.75" customHeight="1">
      <c r="A44" s="7" t="s">
        <v>490</v>
      </c>
      <c r="B44" s="7" t="s">
        <v>491</v>
      </c>
      <c r="C44" s="7" t="s">
        <v>431</v>
      </c>
      <c r="H44" s="7">
        <v>7.272371079E9</v>
      </c>
    </row>
    <row r="45" ht="15.75" customHeight="1">
      <c r="A45" s="65" t="s">
        <v>492</v>
      </c>
      <c r="B45" s="65" t="s">
        <v>493</v>
      </c>
      <c r="C45" s="65" t="s">
        <v>494</v>
      </c>
      <c r="D45" s="65"/>
      <c r="E45" s="65"/>
      <c r="F45" s="65"/>
      <c r="G45" s="65"/>
      <c r="H45" s="65">
        <v>3.122294205E9</v>
      </c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</row>
    <row r="46" ht="15.75" customHeight="1">
      <c r="A46" s="7" t="s">
        <v>495</v>
      </c>
      <c r="B46" s="7" t="s">
        <v>496</v>
      </c>
      <c r="C46" s="7" t="s">
        <v>497</v>
      </c>
      <c r="H46" s="7">
        <v>6.307424669E9</v>
      </c>
    </row>
    <row r="47" ht="15.75" customHeight="1">
      <c r="A47" s="65" t="s">
        <v>498</v>
      </c>
      <c r="B47" s="65" t="s">
        <v>474</v>
      </c>
      <c r="C47" s="65" t="s">
        <v>499</v>
      </c>
      <c r="D47" s="65"/>
      <c r="E47" s="65"/>
      <c r="F47" s="65"/>
      <c r="G47" s="65"/>
      <c r="H47" s="65">
        <v>3.124151243E9</v>
      </c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</row>
    <row r="48" ht="15.75" customHeight="1">
      <c r="A48" s="7" t="s">
        <v>425</v>
      </c>
    </row>
    <row r="49" ht="15.75" customHeight="1">
      <c r="A49" s="65" t="s">
        <v>500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</row>
    <row r="50" ht="15.75" customHeight="1">
      <c r="A50" s="7" t="s">
        <v>501</v>
      </c>
    </row>
    <row r="51" ht="15.75" customHeight="1">
      <c r="A51" s="65" t="s">
        <v>502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</row>
    <row r="52" ht="15.75" customHeight="1">
      <c r="A52" s="7" t="s">
        <v>451</v>
      </c>
    </row>
    <row r="53" ht="15.75" customHeight="1">
      <c r="A53" s="65" t="s">
        <v>503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</row>
    <row r="54" ht="15.75" customHeight="1">
      <c r="A54" s="7" t="s">
        <v>504</v>
      </c>
    </row>
    <row r="55" ht="15.75" customHeight="1">
      <c r="A55" s="65" t="s">
        <v>505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</row>
    <row r="56" ht="15.75" customHeight="1">
      <c r="A56" s="7" t="s">
        <v>506</v>
      </c>
    </row>
    <row r="57" ht="15.75" customHeight="1">
      <c r="A57" s="65" t="s">
        <v>507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</row>
    <row r="58" ht="15.75" customHeight="1">
      <c r="A58" s="7" t="s">
        <v>508</v>
      </c>
    </row>
    <row r="59" ht="15.75" customHeight="1">
      <c r="A59" s="65" t="s">
        <v>509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</row>
    <row r="60" ht="15.75" customHeight="1">
      <c r="A60" s="7" t="s">
        <v>510</v>
      </c>
    </row>
    <row r="61" ht="15.75" customHeight="1">
      <c r="A61" s="65" t="s">
        <v>511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</row>
    <row r="62" ht="15.75" customHeight="1">
      <c r="A62" s="7" t="s">
        <v>512</v>
      </c>
    </row>
    <row r="63" ht="15.75" customHeight="1">
      <c r="A63" s="65" t="s">
        <v>513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</row>
    <row r="64" ht="15.75" customHeight="1">
      <c r="A64" s="7" t="s">
        <v>514</v>
      </c>
    </row>
    <row r="65" ht="15.75" customHeight="1">
      <c r="A65" s="65" t="s">
        <v>515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</row>
    <row r="66" ht="15.75" customHeight="1">
      <c r="A66" s="7" t="s">
        <v>516</v>
      </c>
    </row>
    <row r="67" ht="15.75" customHeight="1">
      <c r="A67" s="65" t="s">
        <v>517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</row>
    <row r="68" ht="15.75" customHeight="1">
      <c r="A68" s="7" t="s">
        <v>518</v>
      </c>
    </row>
    <row r="69" ht="15.75" customHeight="1">
      <c r="A69" s="65" t="s">
        <v>519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</row>
    <row r="70" ht="15.75" customHeight="1">
      <c r="A70" s="7" t="s">
        <v>520</v>
      </c>
    </row>
    <row r="71" ht="15.75" customHeight="1">
      <c r="A71" s="65" t="s">
        <v>521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</row>
    <row r="72" ht="15.75" customHeight="1">
      <c r="A72" s="7" t="s">
        <v>429</v>
      </c>
    </row>
    <row r="73" ht="15.75" customHeight="1">
      <c r="A73" s="65" t="s">
        <v>522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4.0"/>
    <col customWidth="1" min="3" max="3" width="14.0"/>
    <col customWidth="1" min="4" max="4" width="21.38"/>
    <col customWidth="1" min="5" max="6" width="12.63"/>
  </cols>
  <sheetData>
    <row r="1" ht="15.75" customHeight="1">
      <c r="A1" s="7" t="s">
        <v>523</v>
      </c>
      <c r="B1" s="7" t="s">
        <v>524</v>
      </c>
    </row>
    <row r="2" ht="15.75" customHeight="1"/>
    <row r="3" ht="15.75" customHeight="1">
      <c r="A3" s="7" t="s">
        <v>525</v>
      </c>
    </row>
    <row r="4" ht="15.75" customHeight="1"/>
    <row r="5" ht="15.75" customHeight="1"/>
    <row r="6" ht="15.75" customHeight="1">
      <c r="A6" s="7" t="s">
        <v>526</v>
      </c>
    </row>
    <row r="7" ht="15.75" customHeight="1"/>
    <row r="8" ht="15.75" customHeight="1">
      <c r="A8" s="7" t="s">
        <v>527</v>
      </c>
      <c r="B8" s="7" t="s">
        <v>528</v>
      </c>
    </row>
    <row r="9" ht="15.75" customHeight="1">
      <c r="A9" s="7" t="s">
        <v>1</v>
      </c>
      <c r="B9" s="7" t="s">
        <v>355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5"/>
    <col customWidth="1" min="3" max="4" width="14.0"/>
    <col customWidth="1" min="5" max="6" width="12.63"/>
  </cols>
  <sheetData>
    <row r="1" ht="15.75" customHeight="1"/>
    <row r="2" ht="15.75" customHeight="1"/>
    <row r="3" ht="15.75" customHeight="1">
      <c r="A3" s="66" t="s">
        <v>529</v>
      </c>
      <c r="B3" s="67"/>
      <c r="C3" s="67"/>
      <c r="D3" s="68"/>
    </row>
    <row r="4" ht="15.75" customHeight="1">
      <c r="A4" s="69" t="s">
        <v>530</v>
      </c>
      <c r="B4" s="70" t="s">
        <v>531</v>
      </c>
      <c r="C4" s="70" t="s">
        <v>532</v>
      </c>
      <c r="D4" s="70" t="s">
        <v>533</v>
      </c>
    </row>
    <row r="5" ht="15.75" customHeight="1">
      <c r="A5" s="71">
        <v>45277.0</v>
      </c>
      <c r="B5" s="72">
        <v>45290.0</v>
      </c>
      <c r="C5" s="72">
        <v>45294.0</v>
      </c>
      <c r="D5" s="72">
        <v>45296.0</v>
      </c>
    </row>
    <row r="6" ht="15.75" customHeight="1">
      <c r="A6" s="71">
        <v>45291.0</v>
      </c>
      <c r="B6" s="72">
        <v>45304.0</v>
      </c>
      <c r="C6" s="72">
        <v>45308.0</v>
      </c>
      <c r="D6" s="72">
        <v>45310.0</v>
      </c>
    </row>
    <row r="7" ht="15.75" customHeight="1">
      <c r="A7" s="71">
        <v>45305.0</v>
      </c>
      <c r="B7" s="72">
        <v>45318.0</v>
      </c>
      <c r="C7" s="72">
        <v>45322.0</v>
      </c>
      <c r="D7" s="72">
        <v>45324.0</v>
      </c>
    </row>
    <row r="8" ht="15.75" customHeight="1">
      <c r="A8" s="71">
        <v>45319.0</v>
      </c>
      <c r="B8" s="72">
        <v>45332.0</v>
      </c>
      <c r="C8" s="72">
        <v>45336.0</v>
      </c>
      <c r="D8" s="72">
        <v>45338.0</v>
      </c>
    </row>
    <row r="9" ht="15.75" customHeight="1">
      <c r="A9" s="71">
        <v>45333.0</v>
      </c>
      <c r="B9" s="72">
        <v>45346.0</v>
      </c>
      <c r="C9" s="72">
        <v>45350.0</v>
      </c>
      <c r="D9" s="72">
        <v>45352.0</v>
      </c>
    </row>
    <row r="10" ht="15.75" customHeight="1">
      <c r="A10" s="71">
        <v>45347.0</v>
      </c>
      <c r="B10" s="72">
        <v>45360.0</v>
      </c>
      <c r="C10" s="72">
        <v>45364.0</v>
      </c>
      <c r="D10" s="72">
        <v>45366.0</v>
      </c>
    </row>
    <row r="11" ht="15.75" customHeight="1">
      <c r="A11" s="71">
        <v>45361.0</v>
      </c>
      <c r="B11" s="72">
        <v>45374.0</v>
      </c>
      <c r="C11" s="72">
        <v>45378.0</v>
      </c>
      <c r="D11" s="72">
        <v>45380.0</v>
      </c>
    </row>
    <row r="12" ht="15.75" customHeight="1">
      <c r="A12" s="71">
        <v>45375.0</v>
      </c>
      <c r="B12" s="72">
        <v>45388.0</v>
      </c>
      <c r="C12" s="72">
        <v>45392.0</v>
      </c>
      <c r="D12" s="72">
        <v>45394.0</v>
      </c>
    </row>
    <row r="13" ht="15.75" customHeight="1">
      <c r="A13" s="71">
        <v>45389.0</v>
      </c>
      <c r="B13" s="72">
        <v>45402.0</v>
      </c>
      <c r="C13" s="72">
        <v>45406.0</v>
      </c>
      <c r="D13" s="72">
        <v>45408.0</v>
      </c>
    </row>
    <row r="14" ht="15.75" customHeight="1">
      <c r="A14" s="71">
        <v>45403.0</v>
      </c>
      <c r="B14" s="72">
        <v>45416.0</v>
      </c>
      <c r="C14" s="72">
        <v>45420.0</v>
      </c>
      <c r="D14" s="72">
        <v>45422.0</v>
      </c>
    </row>
    <row r="15" ht="15.75" customHeight="1">
      <c r="A15" s="71">
        <v>45417.0</v>
      </c>
      <c r="B15" s="72">
        <v>45430.0</v>
      </c>
      <c r="C15" s="72">
        <v>45434.0</v>
      </c>
      <c r="D15" s="72">
        <v>45436.0</v>
      </c>
    </row>
    <row r="16" ht="15.75" customHeight="1">
      <c r="A16" s="71">
        <v>45431.0</v>
      </c>
      <c r="B16" s="72">
        <v>45444.0</v>
      </c>
      <c r="C16" s="72">
        <v>45448.0</v>
      </c>
      <c r="D16" s="72">
        <v>45450.0</v>
      </c>
    </row>
    <row r="17" ht="15.75" customHeight="1">
      <c r="A17" s="71">
        <v>45445.0</v>
      </c>
      <c r="B17" s="72">
        <v>45458.0</v>
      </c>
      <c r="C17" s="72">
        <v>45462.0</v>
      </c>
      <c r="D17" s="72">
        <v>45464.0</v>
      </c>
    </row>
    <row r="18" ht="15.75" customHeight="1">
      <c r="A18" s="71">
        <v>45459.0</v>
      </c>
      <c r="B18" s="72">
        <v>45472.0</v>
      </c>
      <c r="C18" s="72">
        <v>45476.0</v>
      </c>
      <c r="D18" s="72">
        <v>45478.0</v>
      </c>
    </row>
    <row r="19" ht="15.75" customHeight="1">
      <c r="A19" s="71">
        <v>45473.0</v>
      </c>
      <c r="B19" s="72">
        <v>45486.0</v>
      </c>
      <c r="C19" s="72">
        <v>45490.0</v>
      </c>
      <c r="D19" s="72">
        <v>45492.0</v>
      </c>
    </row>
    <row r="20" ht="15.75" customHeight="1">
      <c r="A20" s="71">
        <v>45487.0</v>
      </c>
      <c r="B20" s="72">
        <v>45500.0</v>
      </c>
      <c r="C20" s="72">
        <v>45504.0</v>
      </c>
      <c r="D20" s="72">
        <v>45506.0</v>
      </c>
    </row>
    <row r="21" ht="15.75" customHeight="1">
      <c r="A21" s="71">
        <v>45501.0</v>
      </c>
      <c r="B21" s="72">
        <v>45514.0</v>
      </c>
      <c r="C21" s="72">
        <v>45518.0</v>
      </c>
      <c r="D21" s="72">
        <v>45520.0</v>
      </c>
    </row>
    <row r="22" ht="15.75" customHeight="1">
      <c r="A22" s="71">
        <v>45515.0</v>
      </c>
      <c r="B22" s="72">
        <v>45528.0</v>
      </c>
      <c r="C22" s="72">
        <v>45532.0</v>
      </c>
      <c r="D22" s="72">
        <v>45534.0</v>
      </c>
    </row>
    <row r="23" ht="15.75" customHeight="1">
      <c r="A23" s="71">
        <v>45529.0</v>
      </c>
      <c r="B23" s="72">
        <v>45542.0</v>
      </c>
      <c r="C23" s="72">
        <v>45546.0</v>
      </c>
      <c r="D23" s="72">
        <v>45548.0</v>
      </c>
    </row>
    <row r="24" ht="15.75" customHeight="1">
      <c r="A24" s="71">
        <v>45543.0</v>
      </c>
      <c r="B24" s="72">
        <v>45556.0</v>
      </c>
      <c r="C24" s="72">
        <v>45560.0</v>
      </c>
      <c r="D24" s="72">
        <v>45562.0</v>
      </c>
    </row>
    <row r="25" ht="15.75" customHeight="1">
      <c r="A25" s="71">
        <v>45557.0</v>
      </c>
      <c r="B25" s="72">
        <v>45570.0</v>
      </c>
      <c r="C25" s="72">
        <v>45574.0</v>
      </c>
      <c r="D25" s="72">
        <v>45576.0</v>
      </c>
    </row>
    <row r="26" ht="15.75" customHeight="1">
      <c r="A26" s="71">
        <v>45571.0</v>
      </c>
      <c r="B26" s="72">
        <v>45584.0</v>
      </c>
      <c r="C26" s="72">
        <v>45588.0</v>
      </c>
      <c r="D26" s="72">
        <v>45590.0</v>
      </c>
    </row>
    <row r="27" ht="15.75" customHeight="1">
      <c r="A27" s="71">
        <v>45585.0</v>
      </c>
      <c r="B27" s="72">
        <v>45598.0</v>
      </c>
      <c r="C27" s="72">
        <v>45602.0</v>
      </c>
      <c r="D27" s="72">
        <v>45604.0</v>
      </c>
    </row>
    <row r="28" ht="15.75" customHeight="1">
      <c r="A28" s="71">
        <v>45599.0</v>
      </c>
      <c r="B28" s="72">
        <v>45612.0</v>
      </c>
      <c r="C28" s="72">
        <v>45616.0</v>
      </c>
      <c r="D28" s="72">
        <v>45618.0</v>
      </c>
    </row>
    <row r="29" ht="15.75" customHeight="1">
      <c r="A29" s="71">
        <v>45613.0</v>
      </c>
      <c r="B29" s="72">
        <v>45626.0</v>
      </c>
      <c r="C29" s="72">
        <v>45630.0</v>
      </c>
      <c r="D29" s="72">
        <v>45632.0</v>
      </c>
    </row>
    <row r="30" ht="15.75" customHeight="1">
      <c r="A30" s="71">
        <v>45627.0</v>
      </c>
      <c r="B30" s="72">
        <v>45640.0</v>
      </c>
      <c r="C30" s="72">
        <v>45644.0</v>
      </c>
      <c r="D30" s="72">
        <v>45646.0</v>
      </c>
    </row>
    <row r="31" ht="15.75" customHeight="1">
      <c r="A31" s="71">
        <v>45641.0</v>
      </c>
      <c r="B31" s="72">
        <v>45654.0</v>
      </c>
      <c r="C31" s="72">
        <v>45658.0</v>
      </c>
      <c r="D31" s="72">
        <v>45660.0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D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5"/>
    <col customWidth="1" min="3" max="4" width="14.0"/>
    <col customWidth="1" min="5" max="6" width="12.63"/>
  </cols>
  <sheetData>
    <row r="1" ht="15.75" customHeight="1"/>
    <row r="2" ht="15.75" customHeight="1"/>
    <row r="3" ht="15.75" customHeight="1">
      <c r="A3" s="73" t="s">
        <v>534</v>
      </c>
      <c r="B3" s="74"/>
      <c r="C3" s="74"/>
      <c r="D3" s="75"/>
    </row>
    <row r="4" ht="15.75" customHeight="1">
      <c r="A4" s="76" t="s">
        <v>530</v>
      </c>
      <c r="B4" s="77" t="s">
        <v>531</v>
      </c>
      <c r="C4" s="77" t="s">
        <v>532</v>
      </c>
      <c r="D4" s="77" t="s">
        <v>533</v>
      </c>
    </row>
    <row r="5" ht="15.75" customHeight="1">
      <c r="A5" s="71">
        <v>45284.0</v>
      </c>
      <c r="B5" s="72">
        <v>45656.0</v>
      </c>
      <c r="C5" s="72">
        <v>45294.0</v>
      </c>
      <c r="D5" s="72">
        <v>45296.0</v>
      </c>
    </row>
    <row r="6" ht="15.75" customHeight="1">
      <c r="A6" s="71">
        <v>45291.0</v>
      </c>
      <c r="B6" s="72">
        <v>45297.0</v>
      </c>
      <c r="C6" s="72">
        <v>45301.0</v>
      </c>
      <c r="D6" s="72">
        <v>45303.0</v>
      </c>
    </row>
    <row r="7" ht="15.75" customHeight="1">
      <c r="A7" s="71">
        <v>45298.0</v>
      </c>
      <c r="B7" s="72">
        <v>44938.0</v>
      </c>
      <c r="C7" s="72">
        <v>45308.0</v>
      </c>
      <c r="D7" s="72">
        <v>45310.0</v>
      </c>
    </row>
    <row r="8" ht="15.75" customHeight="1">
      <c r="A8" s="71">
        <v>45305.0</v>
      </c>
      <c r="B8" s="72">
        <v>44579.0</v>
      </c>
      <c r="C8" s="72">
        <v>45315.0</v>
      </c>
      <c r="D8" s="72">
        <v>45317.0</v>
      </c>
    </row>
    <row r="9" ht="15.75" customHeight="1">
      <c r="A9" s="71">
        <v>45312.0</v>
      </c>
      <c r="B9" s="72">
        <v>44220.0</v>
      </c>
      <c r="C9" s="72">
        <v>45322.0</v>
      </c>
      <c r="D9" s="72">
        <v>45324.0</v>
      </c>
    </row>
    <row r="10" ht="15.75" customHeight="1">
      <c r="A10" s="71">
        <v>45319.0</v>
      </c>
      <c r="B10" s="72">
        <v>43861.0</v>
      </c>
      <c r="C10" s="72">
        <v>45329.0</v>
      </c>
      <c r="D10" s="72">
        <v>45331.0</v>
      </c>
    </row>
    <row r="11" ht="15.75" customHeight="1">
      <c r="A11" s="71">
        <v>45326.0</v>
      </c>
      <c r="B11" s="72">
        <v>43502.0</v>
      </c>
      <c r="C11" s="72">
        <v>45336.0</v>
      </c>
      <c r="D11" s="72">
        <v>45338.0</v>
      </c>
    </row>
    <row r="12" ht="15.75" customHeight="1">
      <c r="A12" s="71">
        <v>45333.0</v>
      </c>
      <c r="B12" s="72">
        <v>43143.0</v>
      </c>
      <c r="C12" s="72">
        <v>45343.0</v>
      </c>
      <c r="D12" s="72">
        <v>45345.0</v>
      </c>
    </row>
    <row r="13" ht="15.75" customHeight="1">
      <c r="A13" s="71">
        <v>45340.0</v>
      </c>
      <c r="B13" s="72">
        <v>42784.0</v>
      </c>
      <c r="C13" s="72">
        <v>45350.0</v>
      </c>
      <c r="D13" s="72">
        <v>45352.0</v>
      </c>
    </row>
    <row r="14" ht="15.75" customHeight="1">
      <c r="A14" s="71">
        <v>45347.0</v>
      </c>
      <c r="B14" s="72">
        <v>42425.0</v>
      </c>
      <c r="C14" s="72">
        <v>45357.0</v>
      </c>
      <c r="D14" s="72">
        <v>45359.0</v>
      </c>
    </row>
    <row r="15" ht="15.75" customHeight="1">
      <c r="A15" s="71">
        <v>45354.0</v>
      </c>
      <c r="B15" s="72">
        <v>42066.0</v>
      </c>
      <c r="C15" s="72">
        <v>45364.0</v>
      </c>
      <c r="D15" s="72">
        <v>45366.0</v>
      </c>
    </row>
    <row r="16" ht="15.75" customHeight="1">
      <c r="A16" s="71">
        <v>45361.0</v>
      </c>
      <c r="B16" s="72">
        <v>41707.0</v>
      </c>
      <c r="C16" s="72">
        <v>45371.0</v>
      </c>
      <c r="D16" s="72">
        <v>45373.0</v>
      </c>
    </row>
    <row r="17" ht="15.75" customHeight="1">
      <c r="A17" s="71">
        <v>45368.0</v>
      </c>
      <c r="B17" s="72">
        <v>41348.0</v>
      </c>
      <c r="C17" s="72">
        <v>45378.0</v>
      </c>
      <c r="D17" s="72">
        <v>45380.0</v>
      </c>
    </row>
    <row r="18" ht="15.75" customHeight="1">
      <c r="A18" s="71">
        <v>45375.0</v>
      </c>
      <c r="B18" s="72">
        <v>40989.0</v>
      </c>
      <c r="C18" s="72">
        <v>45385.0</v>
      </c>
      <c r="D18" s="72">
        <v>45387.0</v>
      </c>
    </row>
    <row r="19" ht="15.75" customHeight="1">
      <c r="A19" s="71">
        <v>45382.0</v>
      </c>
      <c r="B19" s="72">
        <v>40630.0</v>
      </c>
      <c r="C19" s="72">
        <v>45392.0</v>
      </c>
      <c r="D19" s="72">
        <v>45394.0</v>
      </c>
    </row>
    <row r="20" ht="15.75" customHeight="1">
      <c r="A20" s="71">
        <v>45389.0</v>
      </c>
      <c r="B20" s="72">
        <v>40271.0</v>
      </c>
      <c r="C20" s="72">
        <v>45399.0</v>
      </c>
      <c r="D20" s="72">
        <v>45401.0</v>
      </c>
    </row>
    <row r="21" ht="15.75" customHeight="1">
      <c r="A21" s="71">
        <v>45396.0</v>
      </c>
      <c r="B21" s="72">
        <v>39912.0</v>
      </c>
      <c r="C21" s="72">
        <v>45406.0</v>
      </c>
      <c r="D21" s="72">
        <v>45408.0</v>
      </c>
    </row>
    <row r="22" ht="15.75" customHeight="1">
      <c r="A22" s="71">
        <v>45403.0</v>
      </c>
      <c r="B22" s="72">
        <v>39553.0</v>
      </c>
      <c r="C22" s="72">
        <v>45413.0</v>
      </c>
      <c r="D22" s="72">
        <v>45415.0</v>
      </c>
    </row>
    <row r="23" ht="15.75" customHeight="1">
      <c r="A23" s="71">
        <v>45410.0</v>
      </c>
      <c r="B23" s="72">
        <v>39194.0</v>
      </c>
      <c r="C23" s="72">
        <v>45420.0</v>
      </c>
      <c r="D23" s="72">
        <v>45422.0</v>
      </c>
    </row>
    <row r="24" ht="15.75" customHeight="1">
      <c r="A24" s="71">
        <v>45417.0</v>
      </c>
      <c r="B24" s="72">
        <v>38835.0</v>
      </c>
      <c r="C24" s="72">
        <v>45427.0</v>
      </c>
      <c r="D24" s="72">
        <v>45429.0</v>
      </c>
    </row>
    <row r="25" ht="15.75" customHeight="1">
      <c r="A25" s="71">
        <v>45424.0</v>
      </c>
      <c r="B25" s="72">
        <v>38476.0</v>
      </c>
      <c r="C25" s="72">
        <v>45434.0</v>
      </c>
      <c r="D25" s="72">
        <v>45436.0</v>
      </c>
    </row>
    <row r="26" ht="15.75" customHeight="1">
      <c r="A26" s="71">
        <v>45431.0</v>
      </c>
      <c r="B26" s="72">
        <v>38117.0</v>
      </c>
      <c r="C26" s="72">
        <v>45441.0</v>
      </c>
      <c r="D26" s="72">
        <v>45443.0</v>
      </c>
    </row>
    <row r="27" ht="15.75" customHeight="1">
      <c r="A27" s="71">
        <v>45438.0</v>
      </c>
      <c r="B27" s="72">
        <v>37758.0</v>
      </c>
      <c r="C27" s="72">
        <v>45448.0</v>
      </c>
      <c r="D27" s="72">
        <v>45450.0</v>
      </c>
    </row>
    <row r="28" ht="15.75" customHeight="1">
      <c r="A28" s="71">
        <v>45445.0</v>
      </c>
      <c r="B28" s="72">
        <v>37399.0</v>
      </c>
      <c r="C28" s="72">
        <v>45455.0</v>
      </c>
      <c r="D28" s="72">
        <v>45457.0</v>
      </c>
    </row>
    <row r="29" ht="15.75" customHeight="1">
      <c r="A29" s="71">
        <v>45452.0</v>
      </c>
      <c r="B29" s="72">
        <v>37040.0</v>
      </c>
      <c r="C29" s="72">
        <v>45462.0</v>
      </c>
      <c r="D29" s="72">
        <v>45464.0</v>
      </c>
    </row>
    <row r="30" ht="15.75" customHeight="1">
      <c r="A30" s="71">
        <v>45459.0</v>
      </c>
      <c r="B30" s="72">
        <v>36681.0</v>
      </c>
      <c r="C30" s="72">
        <v>45469.0</v>
      </c>
      <c r="D30" s="72">
        <v>45471.0</v>
      </c>
    </row>
    <row r="31" ht="15.75" customHeight="1">
      <c r="A31" s="71">
        <v>45466.0</v>
      </c>
      <c r="B31" s="72">
        <v>36322.0</v>
      </c>
      <c r="C31" s="72">
        <v>45476.0</v>
      </c>
      <c r="D31" s="72">
        <v>45478.0</v>
      </c>
    </row>
    <row r="32" ht="15.75" customHeight="1">
      <c r="A32" s="71">
        <v>45473.0</v>
      </c>
      <c r="B32" s="72">
        <v>35963.0</v>
      </c>
      <c r="C32" s="72">
        <v>45483.0</v>
      </c>
      <c r="D32" s="72">
        <v>45485.0</v>
      </c>
    </row>
    <row r="33" ht="15.75" customHeight="1">
      <c r="A33" s="71">
        <v>45480.0</v>
      </c>
      <c r="B33" s="72">
        <v>35604.0</v>
      </c>
      <c r="C33" s="72">
        <v>45490.0</v>
      </c>
      <c r="D33" s="72">
        <v>45492.0</v>
      </c>
    </row>
    <row r="34" ht="15.75" customHeight="1">
      <c r="A34" s="71">
        <v>45487.0</v>
      </c>
      <c r="B34" s="72">
        <v>35245.0</v>
      </c>
      <c r="C34" s="72">
        <v>45497.0</v>
      </c>
      <c r="D34" s="72">
        <v>45499.0</v>
      </c>
    </row>
    <row r="35" ht="15.75" customHeight="1">
      <c r="A35" s="71">
        <v>45494.0</v>
      </c>
      <c r="B35" s="72">
        <v>34886.0</v>
      </c>
      <c r="C35" s="72">
        <v>45504.0</v>
      </c>
      <c r="D35" s="72">
        <v>45506.0</v>
      </c>
    </row>
    <row r="36" ht="15.75" customHeight="1">
      <c r="A36" s="71">
        <v>45501.0</v>
      </c>
      <c r="B36" s="72">
        <v>34527.0</v>
      </c>
      <c r="C36" s="72">
        <v>45511.0</v>
      </c>
      <c r="D36" s="72">
        <v>45513.0</v>
      </c>
    </row>
    <row r="37" ht="15.75" customHeight="1">
      <c r="A37" s="71">
        <v>45508.0</v>
      </c>
      <c r="B37" s="72">
        <v>34168.0</v>
      </c>
      <c r="C37" s="72">
        <v>45518.0</v>
      </c>
      <c r="D37" s="72">
        <v>45520.0</v>
      </c>
    </row>
    <row r="38" ht="15.75" customHeight="1">
      <c r="A38" s="71">
        <v>45515.0</v>
      </c>
      <c r="B38" s="72">
        <v>33809.0</v>
      </c>
      <c r="C38" s="72">
        <v>45525.0</v>
      </c>
      <c r="D38" s="72">
        <v>45527.0</v>
      </c>
    </row>
    <row r="39" ht="15.75" customHeight="1">
      <c r="A39" s="71">
        <v>45522.0</v>
      </c>
      <c r="B39" s="72">
        <v>33450.0</v>
      </c>
      <c r="C39" s="72">
        <v>45532.0</v>
      </c>
      <c r="D39" s="72">
        <v>45534.0</v>
      </c>
    </row>
    <row r="40" ht="15.75" customHeight="1">
      <c r="A40" s="71">
        <v>45529.0</v>
      </c>
      <c r="B40" s="72">
        <v>33091.0</v>
      </c>
      <c r="C40" s="72">
        <v>45539.0</v>
      </c>
      <c r="D40" s="72">
        <v>45541.0</v>
      </c>
    </row>
    <row r="41" ht="15.75" customHeight="1">
      <c r="A41" s="71">
        <v>45536.0</v>
      </c>
      <c r="B41" s="72">
        <v>32732.0</v>
      </c>
      <c r="C41" s="72">
        <v>45546.0</v>
      </c>
      <c r="D41" s="72">
        <v>45548.0</v>
      </c>
    </row>
    <row r="42" ht="15.75" customHeight="1">
      <c r="A42" s="71">
        <v>45543.0</v>
      </c>
      <c r="B42" s="72">
        <v>32373.0</v>
      </c>
      <c r="C42" s="72">
        <v>45553.0</v>
      </c>
      <c r="D42" s="72">
        <v>45555.0</v>
      </c>
    </row>
    <row r="43" ht="15.75" customHeight="1">
      <c r="A43" s="71">
        <v>45550.0</v>
      </c>
      <c r="B43" s="72">
        <v>32014.0</v>
      </c>
      <c r="C43" s="72">
        <v>45560.0</v>
      </c>
      <c r="D43" s="72">
        <v>45562.0</v>
      </c>
    </row>
    <row r="44" ht="15.75" customHeight="1">
      <c r="A44" s="71">
        <v>45557.0</v>
      </c>
      <c r="B44" s="72">
        <v>31655.0</v>
      </c>
      <c r="C44" s="72">
        <v>45567.0</v>
      </c>
      <c r="D44" s="72">
        <v>45569.0</v>
      </c>
    </row>
    <row r="45" ht="15.75" customHeight="1">
      <c r="A45" s="71">
        <v>45564.0</v>
      </c>
      <c r="B45" s="72">
        <v>31296.0</v>
      </c>
      <c r="C45" s="72">
        <v>45574.0</v>
      </c>
      <c r="D45" s="72">
        <v>45576.0</v>
      </c>
    </row>
    <row r="46" ht="15.75" customHeight="1">
      <c r="A46" s="71">
        <v>45571.0</v>
      </c>
      <c r="B46" s="72">
        <v>30937.0</v>
      </c>
      <c r="C46" s="72">
        <v>45581.0</v>
      </c>
      <c r="D46" s="72">
        <v>45583.0</v>
      </c>
    </row>
    <row r="47" ht="15.75" customHeight="1">
      <c r="A47" s="71">
        <v>45578.0</v>
      </c>
      <c r="B47" s="72">
        <v>30578.0</v>
      </c>
      <c r="C47" s="72">
        <v>45588.0</v>
      </c>
      <c r="D47" s="72">
        <v>45590.0</v>
      </c>
    </row>
    <row r="48" ht="15.75" customHeight="1">
      <c r="A48" s="71">
        <v>45585.0</v>
      </c>
      <c r="B48" s="72">
        <v>30219.0</v>
      </c>
      <c r="C48" s="72">
        <v>45595.0</v>
      </c>
      <c r="D48" s="72">
        <v>45597.0</v>
      </c>
    </row>
    <row r="49" ht="15.75" customHeight="1">
      <c r="A49" s="71">
        <v>45592.0</v>
      </c>
      <c r="B49" s="72">
        <v>29860.0</v>
      </c>
      <c r="C49" s="72">
        <v>45602.0</v>
      </c>
      <c r="D49" s="72">
        <v>45604.0</v>
      </c>
    </row>
    <row r="50" ht="15.75" customHeight="1">
      <c r="A50" s="71">
        <v>45599.0</v>
      </c>
      <c r="B50" s="72">
        <v>29501.0</v>
      </c>
      <c r="C50" s="72">
        <v>45609.0</v>
      </c>
      <c r="D50" s="72">
        <v>45611.0</v>
      </c>
    </row>
    <row r="51" ht="15.75" customHeight="1">
      <c r="A51" s="71">
        <v>45606.0</v>
      </c>
      <c r="B51" s="72">
        <v>29142.0</v>
      </c>
      <c r="C51" s="72">
        <v>45616.0</v>
      </c>
      <c r="D51" s="72">
        <v>45618.0</v>
      </c>
    </row>
    <row r="52" ht="15.75" customHeight="1">
      <c r="A52" s="71">
        <v>45613.0</v>
      </c>
      <c r="B52" s="72">
        <v>28783.0</v>
      </c>
      <c r="C52" s="72">
        <v>45623.0</v>
      </c>
      <c r="D52" s="72">
        <v>45625.0</v>
      </c>
    </row>
    <row r="53" ht="15.75" customHeight="1">
      <c r="A53" s="71">
        <v>45620.0</v>
      </c>
      <c r="B53" s="72">
        <v>28424.0</v>
      </c>
      <c r="C53" s="72">
        <v>45630.0</v>
      </c>
      <c r="D53" s="72">
        <v>45632.0</v>
      </c>
    </row>
    <row r="54" ht="15.75" customHeight="1">
      <c r="A54" s="71">
        <v>45627.0</v>
      </c>
      <c r="B54" s="72">
        <v>28065.0</v>
      </c>
      <c r="C54" s="72">
        <v>45637.0</v>
      </c>
      <c r="D54" s="72">
        <v>45639.0</v>
      </c>
    </row>
    <row r="55" ht="15.75" customHeight="1">
      <c r="A55" s="71">
        <v>45634.0</v>
      </c>
      <c r="B55" s="72">
        <v>27706.0</v>
      </c>
      <c r="C55" s="72">
        <v>45644.0</v>
      </c>
      <c r="D55" s="72">
        <v>45646.0</v>
      </c>
    </row>
    <row r="56" ht="15.75" customHeight="1">
      <c r="A56" s="71">
        <v>45641.0</v>
      </c>
      <c r="B56" s="72">
        <v>27347.0</v>
      </c>
      <c r="C56" s="72">
        <v>45651.0</v>
      </c>
      <c r="D56" s="72">
        <v>45653.0</v>
      </c>
    </row>
    <row r="57" ht="15.75" customHeight="1">
      <c r="A57" s="71">
        <v>45648.0</v>
      </c>
      <c r="B57" s="72">
        <v>26988.0</v>
      </c>
      <c r="C57" s="72">
        <v>45658.0</v>
      </c>
      <c r="D57" s="72">
        <v>45660.0</v>
      </c>
    </row>
    <row r="58" ht="15.75" customHeight="1">
      <c r="A58" s="71">
        <v>45655.0</v>
      </c>
      <c r="B58" s="72">
        <v>26629.0</v>
      </c>
      <c r="C58" s="72">
        <v>45665.0</v>
      </c>
      <c r="D58" s="72">
        <v>45667.0</v>
      </c>
    </row>
    <row r="59" ht="15.75" customHeight="1">
      <c r="A59" s="71">
        <v>45662.0</v>
      </c>
      <c r="B59" s="72">
        <v>26270.0</v>
      </c>
      <c r="C59" s="72">
        <v>45672.0</v>
      </c>
      <c r="D59" s="72">
        <v>45674.0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D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