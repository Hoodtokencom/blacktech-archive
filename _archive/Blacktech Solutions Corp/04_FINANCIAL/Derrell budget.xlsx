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Items" sheetId="2" r:id="rId6"/>
    <sheet state="visible" name="March" sheetId="3" r:id="rId7"/>
    <sheet state="visible" name=" Feb" sheetId="4" r:id="rId8"/>
  </sheets>
  <definedNames/>
  <calcPr/>
</workbook>
</file>

<file path=xl/sharedStrings.xml><?xml version="1.0" encoding="utf-8"?>
<sst xmlns="http://schemas.openxmlformats.org/spreadsheetml/2006/main" count="557" uniqueCount="116">
  <si>
    <t>items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</si>
  <si>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</si>
  <si>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</si>
  <si>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</si>
  <si>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</si>
  <si>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</si>
  <si>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</si>
  <si>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</si>
  <si>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</si>
  <si>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</si>
  <si>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</si>
  <si>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</si>
  <si>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</si>
  <si>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Total</t>
  </si>
  <si>
    <t>Income</t>
  </si>
  <si>
    <t xml:space="preserve">Life Insurance </t>
  </si>
  <si>
    <t>Cash App</t>
  </si>
  <si>
    <t xml:space="preserve">Car payment </t>
  </si>
  <si>
    <t>Car Insurance</t>
  </si>
  <si>
    <t>Child support</t>
  </si>
  <si>
    <t>Fitness</t>
  </si>
  <si>
    <t>Food</t>
  </si>
  <si>
    <t>Gas</t>
  </si>
  <si>
    <t>Haircut</t>
  </si>
  <si>
    <t>Bank fee</t>
  </si>
  <si>
    <t>Internet &amp; mobile</t>
  </si>
  <si>
    <t>Legal</t>
  </si>
  <si>
    <t>Membership</t>
  </si>
  <si>
    <t>Mortagage</t>
  </si>
  <si>
    <t>Mobile</t>
  </si>
  <si>
    <t>Other</t>
  </si>
  <si>
    <t>Phone</t>
  </si>
  <si>
    <t>Saving fee</t>
  </si>
  <si>
    <t>Subscription</t>
  </si>
  <si>
    <t>Union dues</t>
  </si>
  <si>
    <t>Saving</t>
  </si>
  <si>
    <t>Retail</t>
  </si>
  <si>
    <t>Tolls</t>
  </si>
  <si>
    <t>Monthly debt</t>
  </si>
  <si>
    <t>Debt</t>
  </si>
  <si>
    <t>Date</t>
  </si>
  <si>
    <t xml:space="preserve">Description </t>
  </si>
  <si>
    <t>Item</t>
  </si>
  <si>
    <t>Cost</t>
  </si>
  <si>
    <t xml:space="preserve">Direct Deposit </t>
  </si>
  <si>
    <t>Direct Deposit</t>
  </si>
  <si>
    <t>Firestyle llc</t>
  </si>
  <si>
    <t>Bank  Fee</t>
  </si>
  <si>
    <t>Banking Fee</t>
  </si>
  <si>
    <t>Maintenance Fee</t>
  </si>
  <si>
    <t>Atm fee</t>
  </si>
  <si>
    <t>Derrell Black Jr</t>
  </si>
  <si>
    <t>Syron Smith</t>
  </si>
  <si>
    <t>James Moore</t>
  </si>
  <si>
    <t>Destiny</t>
  </si>
  <si>
    <t>Derrell Black jr</t>
  </si>
  <si>
    <t xml:space="preserve">Destiny </t>
  </si>
  <si>
    <t>cash app</t>
  </si>
  <si>
    <t>Car payment</t>
  </si>
  <si>
    <t>Ally  Finanacial</t>
  </si>
  <si>
    <t>Expert pay</t>
  </si>
  <si>
    <t>Expert Pay</t>
  </si>
  <si>
    <t xml:space="preserve">Child support </t>
  </si>
  <si>
    <t>Fee</t>
  </si>
  <si>
    <t>Opportun</t>
  </si>
  <si>
    <t>Plant Fitness</t>
  </si>
  <si>
    <t>Food truck</t>
  </si>
  <si>
    <t>Fox one</t>
  </si>
  <si>
    <t>Town &amp; Country</t>
  </si>
  <si>
    <t>food</t>
  </si>
  <si>
    <t>Dunkin' Donuts</t>
  </si>
  <si>
    <t>Rosatis pizza</t>
  </si>
  <si>
    <t>Old fashion donuts</t>
  </si>
  <si>
    <t>Sharks, fish, and chicken</t>
  </si>
  <si>
    <t>Ricky Rocket</t>
  </si>
  <si>
    <t>Duckin</t>
  </si>
  <si>
    <t>Dunkin</t>
  </si>
  <si>
    <t>Raisin cane</t>
  </si>
  <si>
    <t>BP</t>
  </si>
  <si>
    <t>Bp</t>
  </si>
  <si>
    <t>1/27/0226</t>
  </si>
  <si>
    <t>Internet</t>
  </si>
  <si>
    <t>Comcast internet</t>
  </si>
  <si>
    <t>Law depot</t>
  </si>
  <si>
    <t xml:space="preserve">Car insurance </t>
  </si>
  <si>
    <t>Artisan and trucks</t>
  </si>
  <si>
    <t>Credit Card</t>
  </si>
  <si>
    <t>Credit card</t>
  </si>
  <si>
    <t>Credit  one</t>
  </si>
  <si>
    <t>Studio 9647</t>
  </si>
  <si>
    <t xml:space="preserve">Transamerican </t>
  </si>
  <si>
    <t>membership</t>
  </si>
  <si>
    <t xml:space="preserve">MWR Financial </t>
  </si>
  <si>
    <t>10052 S Forest Ave</t>
  </si>
  <si>
    <t>Xfinity mobile</t>
  </si>
  <si>
    <t>PMV Services</t>
  </si>
  <si>
    <t xml:space="preserve">Insurance </t>
  </si>
  <si>
    <t>Verizon</t>
  </si>
  <si>
    <t>retail</t>
  </si>
  <si>
    <t>Walmart</t>
  </si>
  <si>
    <t>Dtlr</t>
  </si>
  <si>
    <t>Oppotun</t>
  </si>
  <si>
    <t xml:space="preserve">Opportun </t>
  </si>
  <si>
    <t>Storage</t>
  </si>
  <si>
    <t>Extra space</t>
  </si>
  <si>
    <t>subscription</t>
  </si>
  <si>
    <t>Apple</t>
  </si>
  <si>
    <t xml:space="preserve">Subscription </t>
  </si>
  <si>
    <t xml:space="preserve">Subscriptions </t>
  </si>
  <si>
    <t>Tollway</t>
  </si>
  <si>
    <t>Toll</t>
  </si>
  <si>
    <t>Ibew134</t>
  </si>
  <si>
    <t>Loan</t>
  </si>
  <si>
    <t>Credit  Card</t>
  </si>
  <si>
    <t xml:space="preserve">Direct deposit </t>
  </si>
  <si>
    <t>Livewire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</si>
</sst>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m/d/yy"/>
    <numFmt numFmtId="167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0" fontId="1" numFmtId="166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0" fontId="1" numFmtId="167" xfId="0" applyAlignment="1" applyFont="1" applyNumberFormat="1">
      <alignment readingOrder="0"/>
    </xf>
    <xf borderId="0" fillId="8" fontId="1" numFmtId="164" xfId="0" applyAlignment="1" applyFont="1" applyNumberFormat="1">
      <alignment readingOrder="0"/>
    </xf>
    <xf borderId="0" fillId="8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14</v>
      </c>
      <c r="B2" s="4">
        <f>Items!D2</f>
        <v>7543.02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>
        <f t="shared" ref="N2:N11" si="1">sum(B2:M2)</f>
        <v>7543.02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/>
      <c r="N3" s="6">
        <f t="shared" si="1"/>
        <v>0</v>
      </c>
    </row>
    <row r="4">
      <c r="A4" s="5" t="s">
        <v>15</v>
      </c>
      <c r="B4" s="6">
        <f>Items!D86</f>
        <v>912.59</v>
      </c>
      <c r="N4" s="6">
        <f t="shared" si="1"/>
        <v>912.59</v>
      </c>
    </row>
    <row r="5">
      <c r="A5" s="5" t="s">
        <v>16</v>
      </c>
      <c r="B5" s="6">
        <f>Items!D14</f>
        <v>341</v>
      </c>
      <c r="H5" s="6">
        <f t="shared" ref="H5:H17" si="2">SUM(D5+E5+F5+G5)</f>
        <v>0</v>
      </c>
      <c r="N5" s="6">
        <f t="shared" si="1"/>
        <v>341</v>
      </c>
    </row>
    <row r="6">
      <c r="A6" s="5" t="s">
        <v>17</v>
      </c>
      <c r="B6" s="6">
        <f>Items!D25</f>
        <v>510</v>
      </c>
      <c r="H6" s="6">
        <f t="shared" si="2"/>
        <v>0</v>
      </c>
      <c r="N6" s="6">
        <f t="shared" si="1"/>
        <v>510</v>
      </c>
    </row>
    <row r="7">
      <c r="A7" s="5" t="s">
        <v>18</v>
      </c>
      <c r="B7" s="6">
        <f>Items!D79</f>
        <v>325.25</v>
      </c>
      <c r="H7" s="6">
        <f t="shared" si="2"/>
        <v>0</v>
      </c>
      <c r="N7" s="6">
        <f t="shared" si="1"/>
        <v>325.25</v>
      </c>
    </row>
    <row r="8">
      <c r="A8" s="5" t="s">
        <v>19</v>
      </c>
      <c r="B8" s="5">
        <f>Items!D27</f>
        <v>600</v>
      </c>
      <c r="H8" s="6">
        <f t="shared" si="2"/>
        <v>0</v>
      </c>
      <c r="N8" s="6">
        <f t="shared" si="1"/>
        <v>600</v>
      </c>
    </row>
    <row r="9">
      <c r="A9" s="5" t="s">
        <v>20</v>
      </c>
      <c r="B9" s="5">
        <f>Items!D37</f>
        <v>23.06</v>
      </c>
      <c r="H9" s="6">
        <f t="shared" si="2"/>
        <v>0</v>
      </c>
      <c r="N9" s="6">
        <f t="shared" si="1"/>
        <v>23.06</v>
      </c>
    </row>
    <row r="10">
      <c r="A10" s="5" t="s">
        <v>21</v>
      </c>
      <c r="B10" s="6">
        <f>Items!D39</f>
        <v>208.04</v>
      </c>
      <c r="H10" s="6">
        <f t="shared" si="2"/>
        <v>0</v>
      </c>
      <c r="N10" s="6">
        <f t="shared" si="1"/>
        <v>208.04</v>
      </c>
    </row>
    <row r="11">
      <c r="A11" s="5" t="s">
        <v>22</v>
      </c>
      <c r="B11" s="7">
        <f>Items!D67</f>
        <v>207.68</v>
      </c>
      <c r="H11" s="6">
        <f t="shared" si="2"/>
        <v>0</v>
      </c>
      <c r="N11" s="8">
        <f t="shared" si="1"/>
        <v>207.68</v>
      </c>
    </row>
    <row r="12">
      <c r="A12" s="5" t="s">
        <v>23</v>
      </c>
      <c r="B12" s="6">
        <f>Items!D83</f>
        <v>82.5</v>
      </c>
      <c r="H12" s="6">
        <f t="shared" si="2"/>
        <v>0</v>
      </c>
      <c r="N12" s="6">
        <f>Items!D83</f>
        <v>82.5</v>
      </c>
    </row>
    <row r="13">
      <c r="A13" s="5" t="s">
        <v>24</v>
      </c>
      <c r="B13" s="5">
        <f>Items!D10</f>
        <v>4.95</v>
      </c>
      <c r="C13" s="5"/>
      <c r="D13" s="5"/>
      <c r="E13" s="5"/>
      <c r="F13" s="5"/>
      <c r="G13" s="5"/>
      <c r="H13" s="6">
        <f t="shared" si="2"/>
        <v>0</v>
      </c>
      <c r="N13" s="6">
        <f t="shared" ref="N13:N17" si="3">sum(B13:M13)</f>
        <v>4.95</v>
      </c>
    </row>
    <row r="14">
      <c r="A14" s="5" t="s">
        <v>25</v>
      </c>
      <c r="B14" s="6">
        <f>Items!D75</f>
        <v>63.35</v>
      </c>
      <c r="H14" s="6">
        <f t="shared" si="2"/>
        <v>0</v>
      </c>
      <c r="N14" s="6">
        <f t="shared" si="3"/>
        <v>63.35</v>
      </c>
    </row>
    <row r="15">
      <c r="A15" s="5" t="s">
        <v>26</v>
      </c>
      <c r="B15" s="6">
        <f>Items!D77</f>
        <v>49</v>
      </c>
      <c r="H15" s="6">
        <f t="shared" si="2"/>
        <v>0</v>
      </c>
      <c r="N15" s="6">
        <f t="shared" si="3"/>
        <v>49</v>
      </c>
    </row>
    <row r="16">
      <c r="A16" s="5" t="s">
        <v>27</v>
      </c>
      <c r="B16" s="6">
        <f>Items!D89</f>
        <v>149.97</v>
      </c>
      <c r="H16" s="6">
        <f t="shared" si="2"/>
        <v>0</v>
      </c>
      <c r="N16" s="6">
        <f t="shared" si="3"/>
        <v>149.97</v>
      </c>
    </row>
    <row r="17">
      <c r="A17" s="5" t="s">
        <v>28</v>
      </c>
      <c r="B17" s="5">
        <f>Items!D91</f>
        <v>2600</v>
      </c>
      <c r="C17" s="5"/>
      <c r="D17" s="5"/>
      <c r="H17" s="6">
        <f t="shared" si="2"/>
        <v>0</v>
      </c>
      <c r="N17" s="6">
        <f t="shared" si="3"/>
        <v>2600</v>
      </c>
    </row>
    <row r="18">
      <c r="A18" s="5" t="s">
        <v>29</v>
      </c>
      <c r="B18" s="5">
        <f>Items!D94</f>
        <v>92.16</v>
      </c>
      <c r="C18" s="5"/>
      <c r="D18" s="5"/>
      <c r="N18" s="6">
        <f>Items!D94</f>
        <v>92.16</v>
      </c>
    </row>
    <row r="19">
      <c r="A19" s="5" t="s">
        <v>30</v>
      </c>
      <c r="B19" s="6">
        <f>Items!D97</f>
        <v>511.76</v>
      </c>
      <c r="N19" s="6">
        <f t="shared" ref="N19:N22" si="4">sum(B19:M19)</f>
        <v>511.76</v>
      </c>
    </row>
    <row r="20">
      <c r="A20" s="5" t="s">
        <v>31</v>
      </c>
      <c r="B20" s="6">
        <f>Items!D102</f>
        <v>180</v>
      </c>
      <c r="H20" s="6">
        <f>SUM(D20+E20+F20+G20)</f>
        <v>0</v>
      </c>
      <c r="N20" s="6">
        <f t="shared" si="4"/>
        <v>180</v>
      </c>
    </row>
    <row r="21">
      <c r="A21" s="5" t="s">
        <v>32</v>
      </c>
      <c r="B21" s="6">
        <f>Items!D33</f>
        <v>2.97</v>
      </c>
      <c r="N21" s="6">
        <f t="shared" si="4"/>
        <v>2.97</v>
      </c>
    </row>
    <row r="22">
      <c r="A22" s="5" t="s">
        <v>33</v>
      </c>
      <c r="B22" s="8">
        <f>Items!D120</f>
        <v>324.21</v>
      </c>
      <c r="N22" s="8">
        <f t="shared" si="4"/>
        <v>324.21</v>
      </c>
    </row>
    <row r="23">
      <c r="A23" s="5" t="s">
        <v>34</v>
      </c>
      <c r="B23" s="6">
        <f>Items!D137</f>
        <v>201</v>
      </c>
      <c r="H23" s="6">
        <f>SUM(D23+E23+F23+G23)</f>
        <v>0</v>
      </c>
      <c r="N23" s="6">
        <f>Items!D138</f>
        <v>201</v>
      </c>
    </row>
    <row r="24">
      <c r="A24" s="5" t="s">
        <v>16</v>
      </c>
      <c r="B24" s="5">
        <f>Items!D14</f>
        <v>341</v>
      </c>
      <c r="N24" s="6">
        <f t="shared" ref="N24:N28" si="5">sum(B24:M24)</f>
        <v>341</v>
      </c>
    </row>
    <row r="25">
      <c r="A25" s="5" t="s">
        <v>35</v>
      </c>
      <c r="B25" s="5">
        <f>Items!D107</f>
        <v>166.73</v>
      </c>
      <c r="N25" s="6">
        <f t="shared" si="5"/>
        <v>166.73</v>
      </c>
    </row>
    <row r="26">
      <c r="A26" s="5" t="s">
        <v>36</v>
      </c>
      <c r="B26" s="9">
        <f>Items!D104</f>
        <v>43</v>
      </c>
      <c r="N26" s="10">
        <f t="shared" si="5"/>
        <v>43</v>
      </c>
    </row>
    <row r="27">
      <c r="A27" s="5" t="s">
        <v>37</v>
      </c>
      <c r="B27" s="5">
        <f>Items!D130</f>
        <v>120</v>
      </c>
      <c r="N27" s="6">
        <f t="shared" si="5"/>
        <v>120</v>
      </c>
    </row>
    <row r="28">
      <c r="A28" s="11" t="s">
        <v>38</v>
      </c>
      <c r="B28" s="12">
        <f>sum(B4:B27)</f>
        <v>8060.22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5"/>
        <v>8060.22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30">
      <c r="B30" s="5"/>
    </row>
    <row r="31">
      <c r="B31" s="5"/>
      <c r="M31" s="5" t="s">
        <v>14</v>
      </c>
      <c r="N31" s="13">
        <f>N2</f>
        <v>7543.02</v>
      </c>
    </row>
    <row r="32">
      <c r="B32" s="5"/>
      <c r="M32" s="5" t="s">
        <v>39</v>
      </c>
      <c r="N32" s="12">
        <f>sum(N3:N27)</f>
        <v>8060.22</v>
      </c>
    </row>
    <row r="33">
      <c r="N33" s="6">
        <f>sum(N31-N32)</f>
        <v>-517.2</v>
      </c>
    </row>
    <row r="34">
      <c r="B34" s="5"/>
    </row>
    <row r="38">
      <c r="B38" s="5"/>
    </row>
    <row r="42">
      <c r="B42" s="5"/>
    </row>
    <row r="43">
      <c r="B43" s="5"/>
    </row>
    <row r="44">
      <c r="B44" s="5"/>
    </row>
    <row r="46">
      <c r="B46" s="5"/>
    </row>
    <row r="50">
      <c r="B50" s="5"/>
    </row>
    <row r="54">
      <c r="B54" s="5"/>
    </row>
    <row r="55">
      <c r="B55" s="5"/>
    </row>
    <row r="56">
      <c r="B56" s="5"/>
    </row>
    <row r="58">
      <c r="B58" s="5"/>
    </row>
    <row r="62">
      <c r="B62" s="5"/>
    </row>
    <row r="66">
      <c r="B66" s="5"/>
    </row>
    <row r="67">
      <c r="B67" s="5"/>
    </row>
    <row r="68">
      <c r="B68" s="5"/>
    </row>
    <row r="70">
      <c r="B70" s="5"/>
    </row>
    <row r="74">
      <c r="B74" s="5"/>
    </row>
    <row r="78">
      <c r="B78" s="5"/>
    </row>
    <row r="79">
      <c r="B79" s="5"/>
    </row>
    <row r="80">
      <c r="B80" s="5"/>
    </row>
    <row r="82">
      <c r="B82" s="5"/>
    </row>
    <row r="86">
      <c r="B86" s="5"/>
    </row>
    <row r="90">
      <c r="B90" s="5"/>
    </row>
    <row r="91">
      <c r="B91" s="5"/>
    </row>
    <row r="92">
      <c r="B92" s="5"/>
    </row>
    <row r="94">
      <c r="B94" s="5"/>
    </row>
    <row r="98">
      <c r="B98" s="5"/>
    </row>
    <row r="102">
      <c r="B102" s="5"/>
    </row>
    <row r="103">
      <c r="B103" s="5"/>
    </row>
    <row r="104">
      <c r="B104" s="5"/>
    </row>
    <row r="106">
      <c r="B106" s="5"/>
    </row>
    <row r="110">
      <c r="B110" s="5"/>
    </row>
    <row r="114">
      <c r="B114" s="5"/>
    </row>
    <row r="115">
      <c r="B115" s="5"/>
    </row>
    <row r="116">
      <c r="B116" s="5"/>
    </row>
    <row r="118">
      <c r="B118" s="5"/>
    </row>
    <row r="122">
      <c r="B122" s="5"/>
    </row>
    <row r="126">
      <c r="B126" s="5"/>
    </row>
    <row r="127">
      <c r="B127" s="5"/>
    </row>
    <row r="128">
      <c r="B128" s="5"/>
    </row>
    <row r="130">
      <c r="B130" s="5"/>
    </row>
    <row r="134">
      <c r="B134" s="5"/>
    </row>
    <row r="138">
      <c r="B138" s="5"/>
    </row>
    <row r="139">
      <c r="B139" s="5"/>
    </row>
    <row r="140">
      <c r="B140" s="5"/>
    </row>
    <row r="142">
      <c r="B142" s="5"/>
    </row>
    <row r="146">
      <c r="B146" s="5"/>
    </row>
    <row r="150">
      <c r="B150" s="5"/>
    </row>
    <row r="151">
      <c r="B151" s="5"/>
    </row>
    <row r="152">
      <c r="B152" s="5"/>
    </row>
    <row r="154">
      <c r="B154" s="5"/>
    </row>
    <row r="158">
      <c r="B158" s="5"/>
    </row>
    <row r="162">
      <c r="B162" s="5"/>
    </row>
    <row r="163">
      <c r="B163" s="5"/>
    </row>
    <row r="164">
      <c r="B164" s="5"/>
    </row>
    <row r="166">
      <c r="B166" s="5"/>
    </row>
    <row r="170">
      <c r="B170" s="5"/>
    </row>
    <row r="174">
      <c r="B174" s="5"/>
    </row>
    <row r="175">
      <c r="B175" s="5"/>
    </row>
    <row r="176">
      <c r="B176" s="5"/>
    </row>
    <row r="178">
      <c r="B178" s="5"/>
    </row>
    <row r="182">
      <c r="B182" s="5"/>
    </row>
    <row r="186">
      <c r="B186" s="5"/>
    </row>
    <row r="187">
      <c r="B187" s="5"/>
    </row>
    <row r="188">
      <c r="B188" s="5"/>
    </row>
    <row r="190">
      <c r="B190" s="5"/>
    </row>
    <row r="194">
      <c r="B194" s="5"/>
    </row>
    <row r="198">
      <c r="B198" s="5"/>
    </row>
    <row r="199">
      <c r="B199" s="5"/>
    </row>
    <row r="200">
      <c r="B200" s="5"/>
    </row>
    <row r="202">
      <c r="B202" s="5"/>
    </row>
    <row r="206">
      <c r="B206" s="5"/>
    </row>
    <row r="210">
      <c r="B210" s="5"/>
    </row>
    <row r="211">
      <c r="B211" s="5"/>
    </row>
    <row r="212">
      <c r="B212" s="5"/>
    </row>
    <row r="214">
      <c r="B214" s="5"/>
    </row>
    <row r="218">
      <c r="B218" s="5"/>
    </row>
    <row r="222">
      <c r="B222" s="5"/>
    </row>
    <row r="223">
      <c r="B223" s="5"/>
    </row>
    <row r="224">
      <c r="B224" s="5"/>
    </row>
    <row r="226">
      <c r="B226" s="5"/>
    </row>
    <row r="230">
      <c r="B230" s="5"/>
    </row>
    <row r="234">
      <c r="B234" s="5"/>
    </row>
    <row r="235">
      <c r="B235" s="5"/>
    </row>
    <row r="236">
      <c r="B236" s="5"/>
    </row>
    <row r="238">
      <c r="B238" s="5"/>
    </row>
    <row r="242">
      <c r="B242" s="5"/>
    </row>
    <row r="246">
      <c r="B246" s="5"/>
    </row>
    <row r="247">
      <c r="B247" s="5"/>
    </row>
    <row r="248">
      <c r="B248" s="5"/>
    </row>
    <row r="250">
      <c r="B250" s="5"/>
    </row>
    <row r="254">
      <c r="B254" s="5"/>
    </row>
    <row r="258">
      <c r="B258" s="5"/>
    </row>
    <row r="259">
      <c r="B259" s="5"/>
    </row>
    <row r="260">
      <c r="B260" s="5"/>
    </row>
    <row r="262">
      <c r="B262" s="5"/>
    </row>
    <row r="266">
      <c r="B266" s="5"/>
    </row>
    <row r="270">
      <c r="B270" s="5"/>
    </row>
    <row r="271">
      <c r="B271" s="5"/>
    </row>
    <row r="272">
      <c r="B272" s="5"/>
    </row>
    <row r="274">
      <c r="B274" s="5"/>
    </row>
    <row r="278">
      <c r="B278" s="5"/>
    </row>
    <row r="282">
      <c r="B282" s="5"/>
    </row>
    <row r="283">
      <c r="B283" s="5"/>
    </row>
    <row r="284">
      <c r="B284" s="5"/>
    </row>
    <row r="286">
      <c r="B286" s="5"/>
    </row>
    <row r="290">
      <c r="B290" s="5"/>
    </row>
    <row r="294">
      <c r="B294" s="5"/>
    </row>
    <row r="295">
      <c r="B295" s="5"/>
    </row>
    <row r="296">
      <c r="B296" s="5"/>
    </row>
    <row r="298">
      <c r="B298" s="5"/>
    </row>
    <row r="302">
      <c r="B302" s="5"/>
    </row>
    <row r="306">
      <c r="B306" s="5"/>
    </row>
    <row r="307">
      <c r="B307" s="5"/>
    </row>
    <row r="308">
      <c r="B308" s="5"/>
    </row>
    <row r="310">
      <c r="B310" s="5"/>
    </row>
    <row r="314">
      <c r="B314" s="5"/>
    </row>
    <row r="318">
      <c r="B318" s="5"/>
    </row>
    <row r="319">
      <c r="B319" s="5"/>
    </row>
    <row r="320">
      <c r="B320" s="5"/>
    </row>
    <row r="322">
      <c r="B322" s="5"/>
    </row>
    <row r="326">
      <c r="B326" s="5"/>
    </row>
    <row r="330">
      <c r="B330" s="5"/>
    </row>
    <row r="331">
      <c r="B331" s="5"/>
    </row>
    <row r="332">
      <c r="B332" s="5"/>
    </row>
    <row r="334">
      <c r="B334" s="5"/>
    </row>
    <row r="338">
      <c r="B338" s="5"/>
    </row>
    <row r="342">
      <c r="B342" s="5"/>
    </row>
    <row r="343">
      <c r="B343" s="5"/>
    </row>
    <row r="344">
      <c r="B344" s="5"/>
    </row>
    <row r="346">
      <c r="B346" s="5"/>
    </row>
    <row r="350">
      <c r="B350" s="5"/>
    </row>
    <row r="354">
      <c r="B354" s="5"/>
    </row>
    <row r="355">
      <c r="B355" s="5"/>
    </row>
    <row r="356">
      <c r="B356" s="5"/>
    </row>
    <row r="358">
      <c r="B358" s="5"/>
    </row>
    <row r="362">
      <c r="B362" s="5"/>
    </row>
    <row r="366">
      <c r="B366" s="5"/>
    </row>
    <row r="367">
      <c r="B367" s="5"/>
    </row>
    <row r="368">
      <c r="B368" s="5"/>
    </row>
    <row r="370">
      <c r="B370" s="5"/>
    </row>
    <row r="374">
      <c r="B374" s="5"/>
    </row>
    <row r="378">
      <c r="B378" s="5"/>
    </row>
    <row r="379">
      <c r="B379" s="5"/>
    </row>
    <row r="380">
      <c r="B380" s="5"/>
    </row>
    <row r="382">
      <c r="B382" s="5"/>
    </row>
    <row r="386">
      <c r="B386" s="5"/>
    </row>
    <row r="390">
      <c r="B390" s="5"/>
    </row>
    <row r="391">
      <c r="B391" s="5"/>
    </row>
    <row r="392">
      <c r="B392" s="5"/>
    </row>
    <row r="394">
      <c r="B394" s="5"/>
    </row>
    <row r="398">
      <c r="B398" s="5"/>
    </row>
    <row r="402">
      <c r="B402" s="5"/>
    </row>
    <row r="403">
      <c r="B403" s="5"/>
    </row>
    <row r="404">
      <c r="B404" s="5"/>
    </row>
    <row r="406">
      <c r="B406" s="5"/>
    </row>
    <row r="410">
      <c r="B410" s="5"/>
    </row>
    <row r="414">
      <c r="B414" s="5"/>
    </row>
    <row r="415">
      <c r="B415" s="5"/>
    </row>
    <row r="416">
      <c r="B416" s="5"/>
    </row>
    <row r="418">
      <c r="B418" s="5"/>
    </row>
    <row r="422">
      <c r="B422" s="5"/>
    </row>
    <row r="426">
      <c r="B426" s="5"/>
    </row>
    <row r="427">
      <c r="B427" s="5"/>
    </row>
    <row r="428">
      <c r="B428" s="5"/>
    </row>
    <row r="430">
      <c r="B430" s="5"/>
    </row>
    <row r="434">
      <c r="B434" s="5"/>
    </row>
    <row r="438">
      <c r="B438" s="5"/>
    </row>
    <row r="439">
      <c r="B439" s="5"/>
    </row>
    <row r="440">
      <c r="B440" s="5"/>
    </row>
    <row r="442">
      <c r="B442" s="5"/>
    </row>
    <row r="446">
      <c r="B446" s="5"/>
    </row>
    <row r="450">
      <c r="B450" s="5"/>
    </row>
    <row r="451">
      <c r="B451" s="5"/>
    </row>
    <row r="452">
      <c r="B452" s="5"/>
    </row>
    <row r="454">
      <c r="B454" s="5"/>
    </row>
    <row r="458">
      <c r="B458" s="5"/>
    </row>
    <row r="462">
      <c r="B462" s="5"/>
    </row>
    <row r="463">
      <c r="B463" s="5"/>
    </row>
    <row r="464">
      <c r="B464" s="5"/>
    </row>
    <row r="466">
      <c r="B466" s="5"/>
    </row>
    <row r="470">
      <c r="B470" s="5"/>
    </row>
    <row r="474">
      <c r="B474" s="5"/>
    </row>
    <row r="475">
      <c r="B475" s="5"/>
    </row>
    <row r="476">
      <c r="B476" s="5"/>
    </row>
    <row r="478">
      <c r="B478" s="5"/>
    </row>
    <row r="482">
      <c r="B482" s="5"/>
    </row>
    <row r="486">
      <c r="B486" s="5"/>
    </row>
    <row r="487">
      <c r="B487" s="5"/>
    </row>
    <row r="488">
      <c r="B488" s="5"/>
    </row>
    <row r="490">
      <c r="B490" s="5"/>
    </row>
    <row r="494">
      <c r="B494" s="5"/>
    </row>
    <row r="498">
      <c r="B498" s="5"/>
    </row>
    <row r="499">
      <c r="B499" s="5"/>
    </row>
    <row r="500">
      <c r="B500" s="5"/>
    </row>
    <row r="502">
      <c r="B502" s="5"/>
    </row>
    <row r="506">
      <c r="B506" s="5"/>
    </row>
    <row r="510">
      <c r="B510" s="5"/>
    </row>
    <row r="511">
      <c r="B511" s="5"/>
    </row>
    <row r="512">
      <c r="B512" s="5"/>
    </row>
    <row r="514">
      <c r="B514" s="5"/>
    </row>
    <row r="518">
      <c r="B518" s="5"/>
    </row>
    <row r="522">
      <c r="B522" s="5"/>
    </row>
    <row r="523">
      <c r="B523" s="5"/>
    </row>
    <row r="524">
      <c r="B524" s="5"/>
    </row>
    <row r="526">
      <c r="B526" s="5"/>
    </row>
    <row r="530">
      <c r="B530" s="5"/>
    </row>
    <row r="534">
      <c r="B534" s="5"/>
    </row>
    <row r="535">
      <c r="B535" s="5"/>
    </row>
    <row r="536">
      <c r="B536" s="5"/>
    </row>
    <row r="538">
      <c r="B538" s="5"/>
    </row>
    <row r="542">
      <c r="B542" s="5"/>
    </row>
    <row r="546">
      <c r="B546" s="5"/>
    </row>
    <row r="547">
      <c r="B547" s="5"/>
    </row>
    <row r="548">
      <c r="B548" s="5"/>
    </row>
    <row r="550">
      <c r="B550" s="5"/>
    </row>
    <row r="554">
      <c r="B554" s="5"/>
    </row>
    <row r="558">
      <c r="B558" s="5"/>
    </row>
    <row r="559">
      <c r="B559" s="5"/>
    </row>
    <row r="560">
      <c r="B560" s="5"/>
    </row>
    <row r="562">
      <c r="B562" s="5"/>
    </row>
    <row r="566">
      <c r="B566" s="5"/>
    </row>
    <row r="570">
      <c r="B570" s="5"/>
    </row>
    <row r="571">
      <c r="B571" s="5"/>
    </row>
    <row r="572">
      <c r="B572" s="5"/>
    </row>
    <row r="574">
      <c r="B574" s="5"/>
    </row>
    <row r="578">
      <c r="B578" s="5"/>
    </row>
    <row r="582">
      <c r="B582" s="5"/>
    </row>
    <row r="583">
      <c r="B583" s="5"/>
    </row>
    <row r="584">
      <c r="B584" s="5"/>
    </row>
    <row r="586">
      <c r="B586" s="5"/>
    </row>
    <row r="590">
      <c r="B590" s="5"/>
    </row>
    <row r="594">
      <c r="B594" s="5"/>
    </row>
    <row r="595">
      <c r="B595" s="5"/>
    </row>
    <row r="596">
      <c r="B596" s="5"/>
    </row>
    <row r="598">
      <c r="B598" s="5"/>
    </row>
    <row r="602">
      <c r="B602" s="5"/>
    </row>
    <row r="606">
      <c r="B606" s="5"/>
    </row>
    <row r="607">
      <c r="B607" s="5"/>
    </row>
    <row r="608">
      <c r="B608" s="5"/>
    </row>
    <row r="610">
      <c r="B610" s="5"/>
    </row>
    <row r="614">
      <c r="B614" s="5"/>
    </row>
    <row r="618">
      <c r="B618" s="5"/>
    </row>
    <row r="619">
      <c r="B619" s="5"/>
    </row>
    <row r="620">
      <c r="B620" s="5"/>
    </row>
    <row r="622">
      <c r="B622" s="5"/>
    </row>
    <row r="626">
      <c r="B626" s="5"/>
    </row>
    <row r="630">
      <c r="B630" s="5"/>
    </row>
    <row r="631">
      <c r="B631" s="5"/>
    </row>
    <row r="632">
      <c r="B632" s="5"/>
    </row>
    <row r="634">
      <c r="B634" s="5"/>
    </row>
    <row r="638">
      <c r="B638" s="5"/>
    </row>
    <row r="642">
      <c r="B642" s="5"/>
    </row>
    <row r="643">
      <c r="B643" s="5"/>
    </row>
    <row r="644">
      <c r="B644" s="5"/>
    </row>
    <row r="646">
      <c r="B646" s="5"/>
    </row>
    <row r="650">
      <c r="B650" s="5"/>
    </row>
    <row r="654">
      <c r="B654" s="5"/>
    </row>
    <row r="655">
      <c r="B655" s="5"/>
    </row>
    <row r="656">
      <c r="B656" s="5"/>
    </row>
    <row r="658">
      <c r="B658" s="5"/>
    </row>
    <row r="662">
      <c r="B662" s="5"/>
    </row>
    <row r="666">
      <c r="B666" s="5"/>
    </row>
    <row r="667">
      <c r="B667" s="5"/>
    </row>
    <row r="668">
      <c r="B668" s="5"/>
    </row>
    <row r="670">
      <c r="B670" s="5"/>
    </row>
    <row r="674">
      <c r="B674" s="5"/>
    </row>
    <row r="678">
      <c r="B678" s="5"/>
    </row>
    <row r="679">
      <c r="B679" s="5"/>
    </row>
    <row r="680">
      <c r="B680" s="5"/>
    </row>
    <row r="682">
      <c r="B682" s="5"/>
    </row>
    <row r="686">
      <c r="B686" s="5"/>
    </row>
    <row r="690">
      <c r="B690" s="5"/>
    </row>
    <row r="691">
      <c r="B691" s="5"/>
    </row>
    <row r="692">
      <c r="B692" s="5"/>
    </row>
    <row r="694">
      <c r="B694" s="5"/>
    </row>
    <row r="698">
      <c r="B698" s="5"/>
    </row>
    <row r="702">
      <c r="B702" s="5"/>
    </row>
    <row r="703">
      <c r="B703" s="5"/>
    </row>
    <row r="704">
      <c r="B704" s="5"/>
    </row>
    <row r="706">
      <c r="B706" s="5"/>
    </row>
    <row r="710">
      <c r="B710" s="5"/>
    </row>
    <row r="714">
      <c r="B714" s="5"/>
    </row>
    <row r="715">
      <c r="B715" s="5"/>
    </row>
    <row r="716">
      <c r="B716" s="5"/>
    </row>
    <row r="718">
      <c r="B718" s="5"/>
    </row>
    <row r="722">
      <c r="B722" s="5"/>
    </row>
    <row r="726">
      <c r="B726" s="5"/>
    </row>
    <row r="727">
      <c r="B727" s="5"/>
    </row>
    <row r="728">
      <c r="B728" s="5"/>
    </row>
    <row r="730">
      <c r="B730" s="5"/>
    </row>
    <row r="734">
      <c r="B734" s="5"/>
    </row>
    <row r="738">
      <c r="B738" s="5"/>
    </row>
    <row r="739">
      <c r="B739" s="5"/>
    </row>
    <row r="740">
      <c r="B740" s="5"/>
    </row>
    <row r="742">
      <c r="B742" s="5"/>
    </row>
    <row r="746">
      <c r="B746" s="5"/>
    </row>
    <row r="750">
      <c r="B750" s="5"/>
    </row>
    <row r="751">
      <c r="B751" s="5"/>
    </row>
    <row r="752">
      <c r="B752" s="5"/>
    </row>
    <row r="754">
      <c r="B754" s="5"/>
    </row>
    <row r="758">
      <c r="B758" s="5"/>
    </row>
    <row r="762">
      <c r="B762" s="5"/>
    </row>
    <row r="763">
      <c r="B763" s="5"/>
    </row>
    <row r="764">
      <c r="B764" s="5"/>
    </row>
    <row r="766">
      <c r="B766" s="5"/>
    </row>
    <row r="770">
      <c r="B770" s="5"/>
    </row>
    <row r="774">
      <c r="B774" s="5"/>
    </row>
    <row r="775">
      <c r="B775" s="5"/>
    </row>
    <row r="776">
      <c r="B776" s="5"/>
    </row>
    <row r="778">
      <c r="B778" s="5"/>
    </row>
    <row r="782">
      <c r="B782" s="5"/>
    </row>
    <row r="786">
      <c r="B786" s="5"/>
    </row>
    <row r="787">
      <c r="B787" s="5"/>
    </row>
    <row r="788">
      <c r="B788" s="5"/>
    </row>
    <row r="790">
      <c r="B790" s="5"/>
    </row>
    <row r="794">
      <c r="B794" s="5"/>
    </row>
    <row r="798">
      <c r="B798" s="5"/>
    </row>
    <row r="799">
      <c r="B799" s="5"/>
    </row>
    <row r="800">
      <c r="B800" s="5"/>
    </row>
    <row r="802">
      <c r="B802" s="5"/>
    </row>
    <row r="806">
      <c r="B806" s="5"/>
    </row>
    <row r="810">
      <c r="B810" s="5"/>
    </row>
    <row r="811">
      <c r="B811" s="5"/>
    </row>
    <row r="812">
      <c r="B812" s="5"/>
    </row>
    <row r="814">
      <c r="B814" s="5"/>
    </row>
    <row r="818">
      <c r="B818" s="5"/>
    </row>
    <row r="822">
      <c r="B822" s="5"/>
    </row>
    <row r="823">
      <c r="B823" s="5"/>
    </row>
    <row r="824">
      <c r="B824" s="5"/>
    </row>
    <row r="826">
      <c r="B826" s="5"/>
    </row>
    <row r="830">
      <c r="B830" s="5"/>
    </row>
    <row r="834">
      <c r="B834" s="5"/>
    </row>
    <row r="835">
      <c r="B835" s="5"/>
    </row>
    <row r="836">
      <c r="B836" s="5"/>
    </row>
    <row r="838">
      <c r="B838" s="5"/>
    </row>
    <row r="842">
      <c r="B842" s="5"/>
    </row>
    <row r="846">
      <c r="B846" s="5"/>
    </row>
    <row r="847">
      <c r="B847" s="5"/>
    </row>
    <row r="848">
      <c r="B848" s="5"/>
    </row>
    <row r="850">
      <c r="B850" s="5"/>
    </row>
    <row r="854">
      <c r="B854" s="5"/>
    </row>
    <row r="858">
      <c r="B858" s="5"/>
    </row>
    <row r="859">
      <c r="B859" s="5"/>
    </row>
    <row r="860">
      <c r="B860" s="5"/>
    </row>
    <row r="862">
      <c r="B862" s="5"/>
    </row>
    <row r="866">
      <c r="B866" s="5"/>
    </row>
    <row r="870">
      <c r="B870" s="5"/>
    </row>
    <row r="871">
      <c r="B871" s="5"/>
    </row>
    <row r="872">
      <c r="B872" s="5"/>
    </row>
    <row r="874">
      <c r="B874" s="5"/>
    </row>
    <row r="878">
      <c r="B878" s="5"/>
    </row>
    <row r="882">
      <c r="B882" s="5"/>
    </row>
    <row r="883">
      <c r="B883" s="5"/>
    </row>
    <row r="884">
      <c r="B884" s="5"/>
    </row>
    <row r="886">
      <c r="B886" s="5"/>
    </row>
    <row r="890">
      <c r="B890" s="5"/>
    </row>
    <row r="894">
      <c r="B894" s="5"/>
    </row>
    <row r="895">
      <c r="B895" s="5"/>
    </row>
    <row r="896">
      <c r="B896" s="5"/>
    </row>
    <row r="898">
      <c r="B898" s="5"/>
    </row>
    <row r="902">
      <c r="B902" s="5"/>
    </row>
    <row r="906">
      <c r="B906" s="5"/>
    </row>
    <row r="907">
      <c r="B907" s="5"/>
    </row>
    <row r="908">
      <c r="B908" s="5"/>
    </row>
    <row r="910">
      <c r="B910" s="5"/>
    </row>
    <row r="914">
      <c r="B914" s="5"/>
    </row>
    <row r="918">
      <c r="B918" s="5"/>
    </row>
    <row r="919">
      <c r="B919" s="5"/>
    </row>
    <row r="920">
      <c r="B920" s="5"/>
    </row>
    <row r="922">
      <c r="B922" s="5"/>
    </row>
    <row r="926">
      <c r="B926" s="5"/>
    </row>
    <row r="930">
      <c r="B930" s="5"/>
    </row>
    <row r="931">
      <c r="B931" s="5"/>
    </row>
    <row r="932">
      <c r="B932" s="5"/>
    </row>
    <row r="934">
      <c r="B934" s="5"/>
    </row>
    <row r="938">
      <c r="B938" s="5"/>
    </row>
    <row r="942">
      <c r="B942" s="5"/>
    </row>
    <row r="943">
      <c r="B943" s="5"/>
    </row>
    <row r="944">
      <c r="B944" s="5"/>
    </row>
    <row r="946">
      <c r="B946" s="5"/>
    </row>
    <row r="950">
      <c r="B950" s="5"/>
    </row>
    <row r="954">
      <c r="B954" s="5"/>
    </row>
    <row r="955">
      <c r="B955" s="5"/>
    </row>
    <row r="956">
      <c r="B956" s="5"/>
    </row>
    <row r="958">
      <c r="B958" s="5"/>
    </row>
    <row r="962">
      <c r="B962" s="5"/>
    </row>
    <row r="966">
      <c r="B966" s="5"/>
    </row>
    <row r="967">
      <c r="B967" s="5"/>
    </row>
    <row r="968">
      <c r="B968" s="5"/>
    </row>
    <row r="970">
      <c r="B970" s="5"/>
    </row>
    <row r="974">
      <c r="B974" s="5"/>
    </row>
    <row r="978">
      <c r="B978" s="5"/>
    </row>
    <row r="979">
      <c r="B979" s="5"/>
    </row>
    <row r="980">
      <c r="B980" s="5"/>
    </row>
    <row r="982">
      <c r="B982" s="5"/>
    </row>
    <row r="986">
      <c r="B986" s="5"/>
    </row>
    <row r="990">
      <c r="B990" s="5"/>
    </row>
    <row r="991">
      <c r="B991" s="5"/>
    </row>
    <row r="992">
      <c r="B992" s="5"/>
    </row>
    <row r="994">
      <c r="B994" s="5"/>
    </row>
    <row r="998">
      <c r="B998" s="5"/>
    </row>
    <row r="1002">
      <c r="B1002" s="5"/>
    </row>
    <row r="1003">
      <c r="B1003" s="5"/>
    </row>
    <row r="1004">
      <c r="B1004" s="5"/>
    </row>
    <row r="1006">
      <c r="B100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75"/>
  </cols>
  <sheetData>
    <row r="1">
      <c r="A1" s="14" t="s">
        <v>40</v>
      </c>
      <c r="B1" s="14" t="s">
        <v>41</v>
      </c>
      <c r="C1" s="14" t="s">
        <v>42</v>
      </c>
      <c r="D1" s="14" t="s">
        <v>43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6" t="s">
        <v>14</v>
      </c>
      <c r="B2" s="16"/>
      <c r="C2" s="16"/>
      <c r="D2" s="16">
        <f t="shared" ref="D2:E2" si="1">sum(D3:D9)</f>
        <v>7543.02</v>
      </c>
      <c r="E2" s="16">
        <f t="shared" si="1"/>
        <v>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8">
        <v>46022.0</v>
      </c>
      <c r="B3" s="5" t="s">
        <v>14</v>
      </c>
      <c r="C3" s="5" t="s">
        <v>44</v>
      </c>
      <c r="D3" s="5">
        <v>1100.22</v>
      </c>
    </row>
    <row r="4">
      <c r="A4" s="18">
        <v>45665.0</v>
      </c>
      <c r="B4" s="5" t="s">
        <v>14</v>
      </c>
      <c r="C4" s="5" t="s">
        <v>45</v>
      </c>
      <c r="D4" s="5">
        <v>733.47</v>
      </c>
    </row>
    <row r="5">
      <c r="A5" s="18">
        <v>46037.0</v>
      </c>
      <c r="B5" s="5" t="s">
        <v>14</v>
      </c>
      <c r="C5" s="5" t="s">
        <v>45</v>
      </c>
      <c r="D5" s="5">
        <v>1466.95</v>
      </c>
    </row>
    <row r="6">
      <c r="A6" s="18">
        <v>46044.0</v>
      </c>
      <c r="B6" s="5" t="s">
        <v>14</v>
      </c>
      <c r="C6" s="5" t="s">
        <v>45</v>
      </c>
      <c r="D6" s="5">
        <v>1833.69</v>
      </c>
    </row>
    <row r="7">
      <c r="A7" s="18">
        <v>46050.0</v>
      </c>
      <c r="B7" s="5" t="s">
        <v>14</v>
      </c>
      <c r="C7" s="5" t="s">
        <v>45</v>
      </c>
      <c r="D7" s="5">
        <v>1833.69</v>
      </c>
    </row>
    <row r="8">
      <c r="A8" s="18"/>
      <c r="B8" s="5" t="s">
        <v>14</v>
      </c>
      <c r="C8" s="5" t="s">
        <v>46</v>
      </c>
      <c r="D8" s="5">
        <v>575.0</v>
      </c>
    </row>
    <row r="9">
      <c r="A9" s="18"/>
      <c r="B9" s="5"/>
      <c r="C9" s="5"/>
      <c r="D9" s="5"/>
    </row>
    <row r="10">
      <c r="A10" s="19" t="s">
        <v>47</v>
      </c>
      <c r="B10" s="19"/>
      <c r="C10" s="19"/>
      <c r="D10" s="19">
        <f t="shared" ref="D10:E10" si="2">D11</f>
        <v>4.95</v>
      </c>
      <c r="E10" s="19" t="str">
        <f t="shared" si="2"/>
        <v/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18">
        <v>46038.0</v>
      </c>
      <c r="B11" s="5" t="s">
        <v>48</v>
      </c>
      <c r="C11" s="5" t="s">
        <v>49</v>
      </c>
      <c r="D11" s="5">
        <v>4.95</v>
      </c>
    </row>
    <row r="12">
      <c r="A12" s="18">
        <v>46038.0</v>
      </c>
      <c r="B12" s="5" t="s">
        <v>24</v>
      </c>
      <c r="C12" s="5" t="s">
        <v>50</v>
      </c>
      <c r="D12" s="5">
        <v>2.5</v>
      </c>
    </row>
    <row r="13">
      <c r="A13" s="18">
        <v>46049.0</v>
      </c>
      <c r="B13" s="5" t="s">
        <v>24</v>
      </c>
      <c r="C13" s="5" t="s">
        <v>50</v>
      </c>
      <c r="D13" s="5">
        <v>2.5</v>
      </c>
    </row>
    <row r="14">
      <c r="A14" s="19" t="s">
        <v>16</v>
      </c>
      <c r="B14" s="19"/>
      <c r="C14" s="19"/>
      <c r="D14" s="19">
        <f t="shared" ref="D14:E14" si="3">SUM(D15:D24)</f>
        <v>341</v>
      </c>
      <c r="E14" s="19">
        <f t="shared" si="3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18">
        <v>46027.0</v>
      </c>
      <c r="B15" s="5" t="s">
        <v>16</v>
      </c>
      <c r="C15" s="5" t="s">
        <v>51</v>
      </c>
      <c r="D15" s="5">
        <v>10.0</v>
      </c>
    </row>
    <row r="16">
      <c r="A16" s="18">
        <v>46027.0</v>
      </c>
      <c r="B16" s="5" t="s">
        <v>16</v>
      </c>
      <c r="C16" s="5" t="s">
        <v>51</v>
      </c>
      <c r="D16" s="5">
        <v>6.0</v>
      </c>
    </row>
    <row r="17">
      <c r="A17" s="18">
        <v>46027.0</v>
      </c>
      <c r="B17" s="5" t="s">
        <v>16</v>
      </c>
      <c r="C17" s="5" t="s">
        <v>52</v>
      </c>
      <c r="D17" s="5">
        <v>1.0</v>
      </c>
    </row>
    <row r="18">
      <c r="A18" s="18">
        <v>46027.0</v>
      </c>
      <c r="B18" s="5" t="s">
        <v>16</v>
      </c>
      <c r="C18" s="5" t="s">
        <v>53</v>
      </c>
      <c r="D18" s="5">
        <v>20.0</v>
      </c>
    </row>
    <row r="19">
      <c r="A19" s="18">
        <v>46028.0</v>
      </c>
      <c r="B19" s="5" t="s">
        <v>16</v>
      </c>
      <c r="C19" s="5" t="s">
        <v>54</v>
      </c>
      <c r="D19" s="5">
        <v>20.0</v>
      </c>
    </row>
    <row r="20">
      <c r="A20" s="18">
        <v>46034.0</v>
      </c>
      <c r="B20" s="5" t="s">
        <v>16</v>
      </c>
      <c r="C20" s="5" t="s">
        <v>55</v>
      </c>
      <c r="D20" s="5">
        <v>30.0</v>
      </c>
    </row>
    <row r="21">
      <c r="A21" s="18">
        <v>46037.0</v>
      </c>
      <c r="B21" s="5" t="s">
        <v>16</v>
      </c>
      <c r="C21" s="5" t="s">
        <v>55</v>
      </c>
      <c r="D21" s="5">
        <v>6.0</v>
      </c>
    </row>
    <row r="22">
      <c r="A22" s="18">
        <v>46041.0</v>
      </c>
      <c r="B22" s="5" t="s">
        <v>16</v>
      </c>
      <c r="C22" s="5" t="s">
        <v>56</v>
      </c>
      <c r="D22" s="5">
        <v>43.0</v>
      </c>
    </row>
    <row r="23">
      <c r="A23" s="18">
        <v>46045.0</v>
      </c>
      <c r="B23" s="5" t="s">
        <v>16</v>
      </c>
      <c r="C23" s="5" t="s">
        <v>53</v>
      </c>
      <c r="D23" s="5">
        <v>180.0</v>
      </c>
    </row>
    <row r="24">
      <c r="A24" s="18">
        <v>46046.0</v>
      </c>
      <c r="B24" s="5" t="s">
        <v>57</v>
      </c>
      <c r="C24" s="5" t="s">
        <v>55</v>
      </c>
      <c r="D24" s="5">
        <v>25.0</v>
      </c>
    </row>
    <row r="25">
      <c r="A25" s="19" t="s">
        <v>58</v>
      </c>
      <c r="B25" s="19"/>
      <c r="C25" s="19"/>
      <c r="D25" s="19">
        <v>510.0</v>
      </c>
      <c r="E25" s="19">
        <v>510.0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18">
        <v>46037.0</v>
      </c>
      <c r="B26" s="5" t="s">
        <v>17</v>
      </c>
      <c r="C26" s="5" t="s">
        <v>59</v>
      </c>
      <c r="D26" s="5">
        <f>D25</f>
        <v>510</v>
      </c>
    </row>
    <row r="27">
      <c r="A27" s="19" t="s">
        <v>19</v>
      </c>
      <c r="B27" s="19"/>
      <c r="C27" s="19"/>
      <c r="D27" s="19">
        <f t="shared" ref="D27:E27" si="4">sum(D28:D31)</f>
        <v>600</v>
      </c>
      <c r="E27" s="19">
        <f t="shared" si="4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18">
        <v>46028.0</v>
      </c>
      <c r="B28" s="5" t="s">
        <v>19</v>
      </c>
      <c r="C28" s="5" t="s">
        <v>60</v>
      </c>
      <c r="D28" s="5">
        <v>150.0</v>
      </c>
    </row>
    <row r="29">
      <c r="A29" s="18">
        <v>46042.0</v>
      </c>
      <c r="B29" s="5" t="s">
        <v>19</v>
      </c>
      <c r="C29" s="5" t="s">
        <v>61</v>
      </c>
      <c r="D29" s="5">
        <v>150.0</v>
      </c>
    </row>
    <row r="30">
      <c r="A30" s="18">
        <v>46035.0</v>
      </c>
      <c r="B30" s="5" t="s">
        <v>62</v>
      </c>
      <c r="C30" s="5" t="s">
        <v>60</v>
      </c>
      <c r="D30" s="5">
        <v>150.0</v>
      </c>
    </row>
    <row r="31">
      <c r="A31" s="18">
        <v>46051.0</v>
      </c>
      <c r="B31" s="5" t="s">
        <v>62</v>
      </c>
      <c r="C31" s="5" t="s">
        <v>60</v>
      </c>
      <c r="D31" s="5">
        <v>150.0</v>
      </c>
    </row>
    <row r="32">
      <c r="A32" s="18"/>
      <c r="B32" s="5"/>
      <c r="C32" s="5"/>
      <c r="D32" s="5"/>
    </row>
    <row r="33">
      <c r="A33" s="19" t="s">
        <v>63</v>
      </c>
      <c r="B33" s="19"/>
      <c r="C33" s="19"/>
      <c r="D33" s="19">
        <f>sum(D34:D36)</f>
        <v>2.97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18">
        <v>46027.0</v>
      </c>
      <c r="B34" s="5" t="s">
        <v>63</v>
      </c>
      <c r="C34" s="5" t="s">
        <v>64</v>
      </c>
      <c r="D34" s="5">
        <v>0.99</v>
      </c>
    </row>
    <row r="35">
      <c r="A35" s="18">
        <v>46027.0</v>
      </c>
      <c r="B35" s="5" t="s">
        <v>63</v>
      </c>
      <c r="C35" s="5" t="s">
        <v>64</v>
      </c>
      <c r="D35" s="5">
        <v>0.99</v>
      </c>
    </row>
    <row r="36">
      <c r="A36" s="18">
        <v>46044.0</v>
      </c>
      <c r="B36" s="5" t="s">
        <v>63</v>
      </c>
      <c r="C36" s="5" t="s">
        <v>64</v>
      </c>
      <c r="D36" s="5">
        <v>0.99</v>
      </c>
    </row>
    <row r="37">
      <c r="A37" s="19" t="s">
        <v>20</v>
      </c>
      <c r="B37" s="19"/>
      <c r="C37" s="19"/>
      <c r="D37" s="19">
        <f>D38</f>
        <v>23.06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18">
        <v>46042.0</v>
      </c>
      <c r="B38" s="5" t="s">
        <v>20</v>
      </c>
      <c r="C38" s="5" t="s">
        <v>65</v>
      </c>
      <c r="D38" s="5">
        <v>23.06</v>
      </c>
    </row>
    <row r="39">
      <c r="A39" s="19" t="s">
        <v>21</v>
      </c>
      <c r="B39" s="19"/>
      <c r="C39" s="19"/>
      <c r="D39" s="19">
        <f>sum(D40:D60)</f>
        <v>208.04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18">
        <v>46024.0</v>
      </c>
      <c r="B40" s="5" t="s">
        <v>21</v>
      </c>
      <c r="C40" s="5" t="s">
        <v>66</v>
      </c>
      <c r="D40" s="5">
        <v>3.42</v>
      </c>
    </row>
    <row r="41">
      <c r="A41" s="18">
        <v>46024.0</v>
      </c>
      <c r="B41" s="5" t="s">
        <v>21</v>
      </c>
      <c r="C41" s="5" t="s">
        <v>67</v>
      </c>
      <c r="D41" s="5">
        <v>22.05</v>
      </c>
    </row>
    <row r="42">
      <c r="A42" s="18">
        <v>46027.0</v>
      </c>
      <c r="B42" s="5" t="s">
        <v>21</v>
      </c>
      <c r="C42" s="5" t="s">
        <v>68</v>
      </c>
      <c r="D42" s="7">
        <v>11.25</v>
      </c>
    </row>
    <row r="43">
      <c r="A43" s="18">
        <v>46028.0</v>
      </c>
      <c r="B43" s="5" t="s">
        <v>21</v>
      </c>
      <c r="C43" s="5" t="s">
        <v>66</v>
      </c>
      <c r="D43" s="5">
        <v>5.69</v>
      </c>
    </row>
    <row r="44">
      <c r="A44" s="18">
        <v>46028.0</v>
      </c>
      <c r="B44" s="5" t="s">
        <v>21</v>
      </c>
      <c r="C44" s="5" t="s">
        <v>68</v>
      </c>
      <c r="D44" s="7">
        <v>7.71</v>
      </c>
    </row>
    <row r="45">
      <c r="A45" s="21">
        <v>46030.0</v>
      </c>
      <c r="B45" s="5" t="s">
        <v>21</v>
      </c>
      <c r="C45" s="5" t="s">
        <v>66</v>
      </c>
      <c r="D45" s="5">
        <v>9.11</v>
      </c>
    </row>
    <row r="46">
      <c r="A46" s="21">
        <v>46030.0</v>
      </c>
      <c r="B46" s="5" t="s">
        <v>69</v>
      </c>
      <c r="C46" s="5" t="s">
        <v>70</v>
      </c>
      <c r="D46" s="7">
        <v>4.79</v>
      </c>
    </row>
    <row r="47">
      <c r="A47" s="21">
        <v>46030.0</v>
      </c>
      <c r="B47" s="5" t="s">
        <v>21</v>
      </c>
      <c r="C47" s="5" t="s">
        <v>68</v>
      </c>
      <c r="D47" s="7">
        <v>8.73</v>
      </c>
    </row>
    <row r="48">
      <c r="A48" s="18">
        <v>46034.0</v>
      </c>
      <c r="B48" s="5" t="s">
        <v>21</v>
      </c>
      <c r="C48" s="5" t="s">
        <v>71</v>
      </c>
      <c r="D48" s="7">
        <v>8.25</v>
      </c>
    </row>
    <row r="49">
      <c r="A49" s="18">
        <v>46034.0</v>
      </c>
      <c r="B49" s="5" t="s">
        <v>21</v>
      </c>
      <c r="C49" s="5" t="s">
        <v>72</v>
      </c>
      <c r="D49" s="5">
        <v>3.32</v>
      </c>
    </row>
    <row r="50">
      <c r="A50" s="18">
        <v>46034.0</v>
      </c>
      <c r="B50" s="5" t="s">
        <v>69</v>
      </c>
      <c r="C50" s="5" t="s">
        <v>73</v>
      </c>
      <c r="D50" s="5">
        <v>24.06</v>
      </c>
    </row>
    <row r="51">
      <c r="A51" s="18">
        <v>46034.0</v>
      </c>
      <c r="B51" s="5" t="s">
        <v>21</v>
      </c>
      <c r="C51" s="5" t="s">
        <v>68</v>
      </c>
      <c r="D51" s="5">
        <v>11.25</v>
      </c>
    </row>
    <row r="52">
      <c r="A52" s="18">
        <v>46034.0</v>
      </c>
      <c r="B52" s="5" t="s">
        <v>21</v>
      </c>
      <c r="C52" s="5" t="s">
        <v>74</v>
      </c>
      <c r="D52" s="5">
        <v>30.07</v>
      </c>
    </row>
    <row r="53">
      <c r="A53" s="18">
        <v>46035.0</v>
      </c>
      <c r="B53" s="5" t="s">
        <v>21</v>
      </c>
      <c r="C53" s="5" t="s">
        <v>75</v>
      </c>
      <c r="D53" s="5">
        <v>4.79</v>
      </c>
    </row>
    <row r="54">
      <c r="A54" s="18">
        <v>46036.0</v>
      </c>
      <c r="B54" s="5" t="s">
        <v>21</v>
      </c>
      <c r="C54" s="5" t="s">
        <v>66</v>
      </c>
      <c r="D54" s="5">
        <v>5.69</v>
      </c>
    </row>
    <row r="55">
      <c r="A55" s="18">
        <v>46036.0</v>
      </c>
      <c r="B55" s="5" t="s">
        <v>21</v>
      </c>
      <c r="C55" s="5" t="s">
        <v>74</v>
      </c>
      <c r="D55" s="5">
        <v>13.92</v>
      </c>
    </row>
    <row r="56">
      <c r="A56" s="18">
        <v>45672.0</v>
      </c>
      <c r="B56" s="5" t="s">
        <v>21</v>
      </c>
      <c r="C56" s="5" t="s">
        <v>66</v>
      </c>
      <c r="D56" s="5">
        <v>5.7</v>
      </c>
    </row>
    <row r="57">
      <c r="A57" s="18">
        <v>46038.0</v>
      </c>
      <c r="B57" s="5" t="s">
        <v>21</v>
      </c>
      <c r="C57" s="5" t="s">
        <v>21</v>
      </c>
      <c r="D57" s="5">
        <v>5.69</v>
      </c>
    </row>
    <row r="58">
      <c r="A58" s="18">
        <v>46038.0</v>
      </c>
      <c r="B58" s="5" t="s">
        <v>21</v>
      </c>
      <c r="C58" s="5" t="s">
        <v>75</v>
      </c>
      <c r="D58" s="5">
        <v>10.27</v>
      </c>
    </row>
    <row r="59">
      <c r="A59" s="18">
        <v>46044.0</v>
      </c>
      <c r="B59" s="5" t="s">
        <v>21</v>
      </c>
      <c r="C59" s="5" t="s">
        <v>76</v>
      </c>
      <c r="D59" s="5">
        <v>6.14</v>
      </c>
    </row>
    <row r="60">
      <c r="A60" s="18">
        <v>46045.0</v>
      </c>
      <c r="B60" s="5" t="s">
        <v>21</v>
      </c>
      <c r="C60" s="5" t="s">
        <v>76</v>
      </c>
      <c r="D60" s="5">
        <v>6.14</v>
      </c>
    </row>
    <row r="61">
      <c r="A61" s="18">
        <v>46051.0</v>
      </c>
      <c r="B61" s="5" t="s">
        <v>21</v>
      </c>
      <c r="C61" s="5" t="s">
        <v>66</v>
      </c>
      <c r="D61" s="5">
        <v>11.39</v>
      </c>
    </row>
    <row r="62">
      <c r="A62" s="18">
        <v>45685.0</v>
      </c>
      <c r="B62" s="5" t="s">
        <v>21</v>
      </c>
      <c r="C62" s="5" t="s">
        <v>66</v>
      </c>
      <c r="D62" s="5">
        <v>11.39</v>
      </c>
    </row>
    <row r="63">
      <c r="A63" s="18">
        <v>45685.0</v>
      </c>
      <c r="B63" s="5" t="s">
        <v>21</v>
      </c>
      <c r="C63" s="5" t="s">
        <v>76</v>
      </c>
      <c r="D63" s="5">
        <v>6.14</v>
      </c>
    </row>
    <row r="64">
      <c r="A64" s="18">
        <v>45685.0</v>
      </c>
      <c r="B64" s="5" t="s">
        <v>21</v>
      </c>
      <c r="C64" s="5" t="s">
        <v>77</v>
      </c>
      <c r="D64" s="5">
        <v>14.07</v>
      </c>
    </row>
    <row r="65">
      <c r="A65" s="18">
        <v>46034.0</v>
      </c>
      <c r="B65" s="5" t="s">
        <v>21</v>
      </c>
      <c r="C65" s="5" t="s">
        <v>68</v>
      </c>
      <c r="D65" s="5">
        <v>6.84</v>
      </c>
    </row>
    <row r="66">
      <c r="A66" s="18"/>
      <c r="B66" s="5"/>
      <c r="C66" s="5"/>
      <c r="D66" s="5"/>
    </row>
    <row r="67">
      <c r="A67" s="19" t="s">
        <v>22</v>
      </c>
      <c r="B67" s="19"/>
      <c r="C67" s="19"/>
      <c r="D67" s="22">
        <f>sum(D68:D72)</f>
        <v>207.68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18">
        <v>46027.0</v>
      </c>
      <c r="B68" s="5" t="s">
        <v>22</v>
      </c>
      <c r="C68" s="5" t="s">
        <v>78</v>
      </c>
      <c r="D68" s="7">
        <v>53.48</v>
      </c>
    </row>
    <row r="69">
      <c r="A69" s="21">
        <v>46030.0</v>
      </c>
      <c r="B69" s="5" t="s">
        <v>22</v>
      </c>
      <c r="C69" s="5" t="s">
        <v>78</v>
      </c>
      <c r="D69" s="7">
        <v>44.89</v>
      </c>
    </row>
    <row r="70">
      <c r="A70" s="21">
        <v>45672.0</v>
      </c>
      <c r="B70" s="5" t="s">
        <v>22</v>
      </c>
      <c r="C70" s="5" t="s">
        <v>78</v>
      </c>
      <c r="D70" s="7">
        <v>37.39</v>
      </c>
    </row>
    <row r="71">
      <c r="A71" s="21">
        <v>46041.0</v>
      </c>
      <c r="B71" s="5" t="s">
        <v>22</v>
      </c>
      <c r="C71" s="5" t="s">
        <v>79</v>
      </c>
      <c r="D71" s="7">
        <v>32.23</v>
      </c>
    </row>
    <row r="72">
      <c r="A72" s="21">
        <v>46044.0</v>
      </c>
      <c r="B72" s="5" t="s">
        <v>22</v>
      </c>
      <c r="C72" s="5" t="s">
        <v>79</v>
      </c>
      <c r="D72" s="7">
        <v>39.69</v>
      </c>
    </row>
    <row r="73">
      <c r="A73" s="21">
        <v>46050.0</v>
      </c>
      <c r="B73" s="5" t="s">
        <v>22</v>
      </c>
      <c r="C73" s="5" t="s">
        <v>79</v>
      </c>
      <c r="D73" s="7">
        <v>40.63</v>
      </c>
    </row>
    <row r="74">
      <c r="A74" s="21" t="s">
        <v>80</v>
      </c>
      <c r="B74" s="5" t="s">
        <v>22</v>
      </c>
      <c r="C74" s="5" t="s">
        <v>79</v>
      </c>
      <c r="D74" s="7">
        <v>47.09</v>
      </c>
    </row>
    <row r="75">
      <c r="A75" s="19" t="s">
        <v>81</v>
      </c>
      <c r="B75" s="19"/>
      <c r="C75" s="19"/>
      <c r="D75" s="19">
        <f>D76</f>
        <v>63.35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18">
        <v>46034.0</v>
      </c>
      <c r="B76" s="5" t="s">
        <v>81</v>
      </c>
      <c r="C76" s="5" t="s">
        <v>82</v>
      </c>
      <c r="D76" s="5">
        <v>63.35</v>
      </c>
    </row>
    <row r="77">
      <c r="A77" s="19" t="s">
        <v>26</v>
      </c>
      <c r="B77" s="19"/>
      <c r="C77" s="19"/>
      <c r="D77" s="19">
        <f>D78</f>
        <v>49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18">
        <v>46029.0</v>
      </c>
      <c r="B78" s="5" t="s">
        <v>26</v>
      </c>
      <c r="C78" s="5" t="s">
        <v>83</v>
      </c>
      <c r="D78" s="5">
        <v>49.0</v>
      </c>
    </row>
    <row r="79">
      <c r="A79" s="19" t="s">
        <v>84</v>
      </c>
      <c r="B79" s="19"/>
      <c r="C79" s="19"/>
      <c r="D79" s="19">
        <f>sum(D80:D81)</f>
        <v>325.25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18">
        <v>46045.0</v>
      </c>
      <c r="B80" s="5" t="s">
        <v>84</v>
      </c>
      <c r="C80" s="5" t="s">
        <v>85</v>
      </c>
      <c r="D80" s="5">
        <v>290.0</v>
      </c>
    </row>
    <row r="81">
      <c r="A81" s="1" t="s">
        <v>86</v>
      </c>
      <c r="B81" s="2"/>
      <c r="C81" s="2"/>
      <c r="D81" s="1">
        <v>35.25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8">
        <v>46038.0</v>
      </c>
      <c r="B82" s="5" t="s">
        <v>87</v>
      </c>
      <c r="C82" s="5" t="s">
        <v>88</v>
      </c>
      <c r="D82" s="5">
        <f>D81</f>
        <v>35.25</v>
      </c>
    </row>
    <row r="83">
      <c r="A83" s="1" t="s">
        <v>23</v>
      </c>
      <c r="B83" s="1"/>
      <c r="C83" s="1"/>
      <c r="D83" s="1">
        <f>SUM(D84:D85)</f>
        <v>82.5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8"/>
      <c r="B84" s="5" t="s">
        <v>23</v>
      </c>
      <c r="C84" s="5" t="s">
        <v>89</v>
      </c>
      <c r="D84" s="5">
        <v>40.0</v>
      </c>
    </row>
    <row r="85">
      <c r="A85" s="18">
        <v>46049.0</v>
      </c>
      <c r="B85" s="5" t="s">
        <v>23</v>
      </c>
      <c r="C85" s="5" t="s">
        <v>89</v>
      </c>
      <c r="D85" s="5">
        <v>42.5</v>
      </c>
    </row>
    <row r="86">
      <c r="A86" s="19" t="s">
        <v>15</v>
      </c>
      <c r="B86" s="19"/>
      <c r="C86" s="19"/>
      <c r="D86" s="19">
        <f>sum(D87:D88)</f>
        <v>912.59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18">
        <v>46041.0</v>
      </c>
      <c r="B87" s="5" t="s">
        <v>15</v>
      </c>
      <c r="C87" s="5" t="s">
        <v>90</v>
      </c>
      <c r="D87" s="5">
        <v>801.66</v>
      </c>
    </row>
    <row r="88">
      <c r="A88" s="18">
        <v>46041.0</v>
      </c>
      <c r="B88" s="5" t="s">
        <v>15</v>
      </c>
      <c r="C88" s="5" t="s">
        <v>90</v>
      </c>
      <c r="D88" s="5">
        <v>110.93</v>
      </c>
    </row>
    <row r="89">
      <c r="A89" s="19" t="s">
        <v>91</v>
      </c>
      <c r="B89" s="19"/>
      <c r="C89" s="19"/>
      <c r="D89" s="19">
        <f>D90</f>
        <v>149.97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18">
        <v>46034.0</v>
      </c>
      <c r="B90" s="5" t="s">
        <v>91</v>
      </c>
      <c r="C90" s="5" t="s">
        <v>92</v>
      </c>
      <c r="D90" s="5">
        <v>149.97</v>
      </c>
    </row>
    <row r="91">
      <c r="A91" s="19" t="s">
        <v>28</v>
      </c>
      <c r="B91" s="19"/>
      <c r="C91" s="19"/>
      <c r="D91" s="19">
        <f>sum(D92:D93)</f>
        <v>2600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1">
        <v>46023.0</v>
      </c>
      <c r="B92" s="5" t="s">
        <v>28</v>
      </c>
      <c r="C92" s="5" t="s">
        <v>93</v>
      </c>
      <c r="D92" s="5">
        <v>1300.0</v>
      </c>
    </row>
    <row r="93">
      <c r="A93" s="21">
        <v>46054.0</v>
      </c>
      <c r="B93" s="5" t="s">
        <v>28</v>
      </c>
      <c r="C93" s="5" t="s">
        <v>93</v>
      </c>
      <c r="D93" s="5">
        <v>1300.0</v>
      </c>
    </row>
    <row r="94">
      <c r="A94" s="19" t="s">
        <v>29</v>
      </c>
      <c r="B94" s="19"/>
      <c r="C94" s="19"/>
      <c r="D94" s="19">
        <f>sum(D95:D96)</f>
        <v>92.16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18">
        <v>46034.0</v>
      </c>
      <c r="B95" s="5" t="s">
        <v>29</v>
      </c>
      <c r="C95" s="5" t="s">
        <v>94</v>
      </c>
      <c r="D95" s="5">
        <v>50.0</v>
      </c>
    </row>
    <row r="96">
      <c r="A96" s="18">
        <v>46034.0</v>
      </c>
      <c r="B96" s="5" t="s">
        <v>29</v>
      </c>
      <c r="C96" s="5" t="s">
        <v>94</v>
      </c>
      <c r="D96" s="5">
        <v>42.16</v>
      </c>
    </row>
    <row r="97">
      <c r="A97" s="19" t="s">
        <v>30</v>
      </c>
      <c r="B97" s="19"/>
      <c r="C97" s="19"/>
      <c r="D97" s="19">
        <f>SUM(D98:D100)</f>
        <v>511.76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8">
        <v>46034.0</v>
      </c>
      <c r="B98" s="5" t="s">
        <v>30</v>
      </c>
      <c r="C98" s="5" t="s">
        <v>95</v>
      </c>
      <c r="D98" s="5">
        <v>96.76</v>
      </c>
    </row>
    <row r="99">
      <c r="A99" s="18">
        <v>46045.0</v>
      </c>
      <c r="B99" s="5" t="s">
        <v>30</v>
      </c>
      <c r="C99" s="5" t="s">
        <v>96</v>
      </c>
      <c r="D99" s="5">
        <v>200.0</v>
      </c>
    </row>
    <row r="100">
      <c r="A100" s="18">
        <v>46045.0</v>
      </c>
      <c r="B100" s="5" t="s">
        <v>30</v>
      </c>
      <c r="C100" s="5" t="s">
        <v>96</v>
      </c>
      <c r="D100" s="5">
        <v>215.0</v>
      </c>
    </row>
    <row r="101">
      <c r="A101" s="19" t="s">
        <v>31</v>
      </c>
      <c r="B101" s="19"/>
      <c r="C101" s="19"/>
      <c r="D101" s="19">
        <f>D102</f>
        <v>180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18">
        <v>46029.0</v>
      </c>
      <c r="B102" s="5" t="s">
        <v>31</v>
      </c>
      <c r="C102" s="5" t="s">
        <v>97</v>
      </c>
      <c r="D102" s="5">
        <v>180.0</v>
      </c>
    </row>
    <row r="103">
      <c r="A103" s="19" t="s">
        <v>98</v>
      </c>
      <c r="B103" s="19"/>
      <c r="C103" s="19"/>
      <c r="D103" s="23">
        <f>sum(D104:D106)</f>
        <v>135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18">
        <v>46031.0</v>
      </c>
      <c r="B104" s="5" t="s">
        <v>98</v>
      </c>
      <c r="C104" s="5" t="s">
        <v>99</v>
      </c>
      <c r="D104" s="9">
        <v>43.0</v>
      </c>
    </row>
    <row r="105">
      <c r="A105" s="18">
        <v>46044.0</v>
      </c>
      <c r="B105" s="5" t="s">
        <v>36</v>
      </c>
      <c r="C105" s="5" t="s">
        <v>99</v>
      </c>
      <c r="D105" s="9">
        <v>43.0</v>
      </c>
    </row>
    <row r="106">
      <c r="A106" s="18">
        <v>46044.0</v>
      </c>
      <c r="B106" s="5" t="s">
        <v>36</v>
      </c>
      <c r="C106" s="5" t="s">
        <v>100</v>
      </c>
      <c r="D106" s="9">
        <v>49.0</v>
      </c>
    </row>
    <row r="107">
      <c r="A107" s="19" t="s">
        <v>35</v>
      </c>
      <c r="B107" s="19"/>
      <c r="C107" s="19"/>
      <c r="D107" s="19">
        <f>sum(D108:D117)</f>
        <v>166.73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18">
        <v>46027.0</v>
      </c>
      <c r="B108" s="5" t="s">
        <v>35</v>
      </c>
      <c r="C108" s="5" t="s">
        <v>101</v>
      </c>
      <c r="D108" s="5">
        <v>9.88</v>
      </c>
    </row>
    <row r="109">
      <c r="A109" s="18">
        <v>46035.0</v>
      </c>
      <c r="B109" s="5" t="s">
        <v>35</v>
      </c>
      <c r="C109" s="5" t="s">
        <v>102</v>
      </c>
      <c r="D109" s="5">
        <v>5.0</v>
      </c>
    </row>
    <row r="110">
      <c r="A110" s="18">
        <v>46036.0</v>
      </c>
      <c r="B110" s="5" t="s">
        <v>35</v>
      </c>
      <c r="C110" s="5" t="s">
        <v>102</v>
      </c>
      <c r="D110" s="5">
        <v>14.64</v>
      </c>
    </row>
    <row r="111">
      <c r="A111" s="18">
        <v>46036.0</v>
      </c>
      <c r="B111" s="5" t="s">
        <v>35</v>
      </c>
      <c r="C111" s="5" t="s">
        <v>102</v>
      </c>
      <c r="D111" s="5">
        <v>24.47</v>
      </c>
    </row>
    <row r="112">
      <c r="A112" s="18">
        <v>46037.0</v>
      </c>
      <c r="B112" s="5" t="s">
        <v>35</v>
      </c>
      <c r="C112" s="5" t="s">
        <v>102</v>
      </c>
      <c r="D112" s="5">
        <v>16.91</v>
      </c>
    </row>
    <row r="113">
      <c r="A113" s="18">
        <v>45671.0</v>
      </c>
      <c r="B113" s="5" t="s">
        <v>35</v>
      </c>
      <c r="C113" s="5" t="s">
        <v>102</v>
      </c>
      <c r="D113" s="5">
        <v>0.05</v>
      </c>
    </row>
    <row r="114">
      <c r="A114" s="18">
        <v>46045.0</v>
      </c>
      <c r="B114" s="5" t="s">
        <v>35</v>
      </c>
      <c r="C114" s="5" t="s">
        <v>102</v>
      </c>
      <c r="D114" s="5">
        <v>13.33</v>
      </c>
    </row>
    <row r="115">
      <c r="A115" s="18">
        <v>46051.0</v>
      </c>
      <c r="B115" s="5" t="s">
        <v>35</v>
      </c>
      <c r="C115" s="5" t="s">
        <v>102</v>
      </c>
      <c r="D115" s="5">
        <v>41.07</v>
      </c>
    </row>
    <row r="116">
      <c r="A116" s="18">
        <v>46050.0</v>
      </c>
      <c r="B116" s="5" t="s">
        <v>35</v>
      </c>
      <c r="C116" s="5" t="s">
        <v>102</v>
      </c>
      <c r="D116" s="5">
        <v>17.01</v>
      </c>
    </row>
    <row r="117">
      <c r="A117" s="18">
        <v>46049.0</v>
      </c>
      <c r="B117" s="5" t="s">
        <v>35</v>
      </c>
      <c r="C117" s="5" t="s">
        <v>102</v>
      </c>
      <c r="D117" s="5">
        <v>24.37</v>
      </c>
    </row>
    <row r="118">
      <c r="A118" s="19" t="s">
        <v>103</v>
      </c>
      <c r="B118" s="19"/>
      <c r="C118" s="19"/>
      <c r="D118" s="19">
        <f>D119</f>
        <v>83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18">
        <v>46037.0</v>
      </c>
      <c r="B119" s="5" t="s">
        <v>103</v>
      </c>
      <c r="C119" s="5" t="s">
        <v>104</v>
      </c>
      <c r="D119" s="5">
        <v>83.0</v>
      </c>
    </row>
    <row r="120">
      <c r="A120" s="19" t="s">
        <v>105</v>
      </c>
      <c r="B120" s="19"/>
      <c r="C120" s="19"/>
      <c r="D120" s="22">
        <f>sum(D121:D125)</f>
        <v>324.21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1">
        <v>46030.0</v>
      </c>
      <c r="B121" s="5" t="s">
        <v>105</v>
      </c>
      <c r="C121" s="5" t="s">
        <v>106</v>
      </c>
      <c r="D121" s="7">
        <v>13.22</v>
      </c>
    </row>
    <row r="122">
      <c r="A122" s="18">
        <v>46034.0</v>
      </c>
      <c r="B122" s="5" t="s">
        <v>105</v>
      </c>
      <c r="C122" s="5" t="s">
        <v>106</v>
      </c>
      <c r="D122" s="5">
        <v>21.93</v>
      </c>
    </row>
    <row r="123">
      <c r="A123" s="18">
        <v>46034.0</v>
      </c>
      <c r="B123" s="5" t="s">
        <v>107</v>
      </c>
      <c r="C123" s="5" t="s">
        <v>106</v>
      </c>
      <c r="D123" s="5">
        <v>245.0</v>
      </c>
    </row>
    <row r="124">
      <c r="A124" s="18">
        <v>46027.0</v>
      </c>
      <c r="B124" s="5" t="s">
        <v>108</v>
      </c>
      <c r="C124" s="5" t="s">
        <v>106</v>
      </c>
      <c r="D124" s="7">
        <v>2.19</v>
      </c>
    </row>
    <row r="125">
      <c r="A125" s="18">
        <v>46037.0</v>
      </c>
      <c r="B125" s="5" t="s">
        <v>108</v>
      </c>
      <c r="C125" s="5" t="s">
        <v>106</v>
      </c>
      <c r="D125" s="7">
        <v>41.87</v>
      </c>
    </row>
    <row r="126">
      <c r="A126" s="18">
        <v>46051.0</v>
      </c>
      <c r="B126" s="5" t="s">
        <v>108</v>
      </c>
      <c r="C126" s="5" t="s">
        <v>106</v>
      </c>
      <c r="D126" s="7">
        <v>9.99</v>
      </c>
    </row>
    <row r="127">
      <c r="A127" s="18">
        <v>47146.0</v>
      </c>
      <c r="B127" s="5" t="s">
        <v>108</v>
      </c>
      <c r="C127" s="5" t="s">
        <v>106</v>
      </c>
      <c r="D127" s="7">
        <v>15.99</v>
      </c>
    </row>
    <row r="128">
      <c r="A128" s="18"/>
      <c r="B128" s="5"/>
      <c r="C128" s="5"/>
      <c r="D128" s="7"/>
    </row>
    <row r="129">
      <c r="A129" s="18"/>
      <c r="B129" s="5"/>
      <c r="C129" s="5"/>
      <c r="D129" s="7"/>
    </row>
    <row r="130">
      <c r="A130" s="19" t="s">
        <v>37</v>
      </c>
      <c r="B130" s="19"/>
      <c r="C130" s="19"/>
      <c r="D130" s="19">
        <f>sum(D131:D136)</f>
        <v>120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18">
        <v>46029.0</v>
      </c>
      <c r="B131" s="5" t="s">
        <v>37</v>
      </c>
      <c r="C131" s="5" t="s">
        <v>109</v>
      </c>
      <c r="D131" s="5">
        <v>20.0</v>
      </c>
    </row>
    <row r="132">
      <c r="A132" s="18">
        <v>46029.0</v>
      </c>
      <c r="B132" s="5" t="s">
        <v>37</v>
      </c>
      <c r="C132" s="5" t="s">
        <v>109</v>
      </c>
      <c r="D132" s="5">
        <v>20.0</v>
      </c>
    </row>
    <row r="133">
      <c r="A133" s="18">
        <v>46029.0</v>
      </c>
      <c r="B133" s="5" t="s">
        <v>37</v>
      </c>
      <c r="C133" s="5" t="s">
        <v>109</v>
      </c>
      <c r="D133" s="5">
        <v>20.0</v>
      </c>
    </row>
    <row r="134">
      <c r="A134" s="18">
        <v>46038.0</v>
      </c>
      <c r="B134" s="5" t="s">
        <v>110</v>
      </c>
      <c r="C134" s="5" t="s">
        <v>109</v>
      </c>
      <c r="D134" s="5">
        <v>20.0</v>
      </c>
    </row>
    <row r="135">
      <c r="A135" s="18">
        <v>46045.0</v>
      </c>
      <c r="B135" s="5" t="s">
        <v>37</v>
      </c>
      <c r="C135" s="5" t="s">
        <v>109</v>
      </c>
      <c r="D135" s="5">
        <v>20.0</v>
      </c>
    </row>
    <row r="136">
      <c r="A136" s="18">
        <v>46048.0</v>
      </c>
      <c r="B136" s="5" t="s">
        <v>37</v>
      </c>
      <c r="C136" s="5" t="s">
        <v>109</v>
      </c>
      <c r="D136" s="5">
        <v>20.0</v>
      </c>
    </row>
    <row r="137">
      <c r="A137" s="19" t="s">
        <v>34</v>
      </c>
      <c r="B137" s="20"/>
      <c r="C137" s="20"/>
      <c r="D137" s="20">
        <f>D138</f>
        <v>201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18">
        <v>46040.0</v>
      </c>
      <c r="B138" s="5" t="s">
        <v>34</v>
      </c>
      <c r="C138" s="5" t="s">
        <v>111</v>
      </c>
      <c r="D138" s="5">
        <v>201.0</v>
      </c>
    </row>
    <row r="140">
      <c r="A140" s="19" t="s">
        <v>112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23.75"/>
  </cols>
  <sheetData>
    <row r="1">
      <c r="A1" s="16" t="s">
        <v>40</v>
      </c>
      <c r="B1" s="16" t="s">
        <v>41</v>
      </c>
      <c r="C1" s="16" t="s">
        <v>42</v>
      </c>
      <c r="D1" s="16"/>
      <c r="E1" s="16" t="s">
        <v>43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>
      <c r="A2" s="19" t="s">
        <v>47</v>
      </c>
      <c r="B2" s="19"/>
      <c r="C2" s="19"/>
      <c r="D2" s="19"/>
      <c r="E2" s="19">
        <f>E3</f>
        <v>4.95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>
      <c r="A3" s="18">
        <v>46038.0</v>
      </c>
      <c r="B3" s="5" t="s">
        <v>48</v>
      </c>
      <c r="C3" s="5" t="s">
        <v>49</v>
      </c>
      <c r="D3" s="5"/>
      <c r="E3" s="5">
        <v>4.95</v>
      </c>
    </row>
    <row r="4">
      <c r="A4" s="19" t="s">
        <v>16</v>
      </c>
      <c r="B4" s="19"/>
      <c r="C4" s="19"/>
      <c r="D4" s="19"/>
      <c r="E4" s="19">
        <f>SUM(E5:E10)</f>
        <v>87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>
      <c r="A5" s="18">
        <v>46027.0</v>
      </c>
      <c r="B5" s="5" t="s">
        <v>16</v>
      </c>
      <c r="C5" s="5" t="s">
        <v>51</v>
      </c>
      <c r="D5" s="5"/>
      <c r="E5" s="5">
        <v>10.0</v>
      </c>
    </row>
    <row r="6">
      <c r="A6" s="18">
        <v>46027.0</v>
      </c>
      <c r="B6" s="5" t="s">
        <v>16</v>
      </c>
      <c r="C6" s="5" t="s">
        <v>51</v>
      </c>
      <c r="D6" s="5"/>
      <c r="E6" s="5">
        <v>6.0</v>
      </c>
    </row>
    <row r="7">
      <c r="A7" s="18">
        <v>46027.0</v>
      </c>
      <c r="B7" s="5" t="s">
        <v>16</v>
      </c>
      <c r="C7" s="5" t="s">
        <v>52</v>
      </c>
      <c r="D7" s="5"/>
      <c r="E7" s="5">
        <v>1.0</v>
      </c>
    </row>
    <row r="8">
      <c r="A8" s="18">
        <v>46027.0</v>
      </c>
      <c r="B8" s="5" t="s">
        <v>16</v>
      </c>
      <c r="C8" s="5" t="s">
        <v>53</v>
      </c>
      <c r="D8" s="5"/>
      <c r="E8" s="5">
        <v>20.0</v>
      </c>
    </row>
    <row r="9">
      <c r="A9" s="18">
        <v>46028.0</v>
      </c>
      <c r="B9" s="5" t="s">
        <v>16</v>
      </c>
      <c r="C9" s="5" t="s">
        <v>54</v>
      </c>
      <c r="D9" s="5"/>
      <c r="E9" s="5">
        <v>20.0</v>
      </c>
    </row>
    <row r="10">
      <c r="A10" s="18">
        <v>46034.0</v>
      </c>
      <c r="B10" s="5" t="s">
        <v>16</v>
      </c>
      <c r="C10" s="5" t="s">
        <v>55</v>
      </c>
      <c r="D10" s="5"/>
      <c r="E10" s="5">
        <v>30.0</v>
      </c>
    </row>
    <row r="11">
      <c r="A11" s="19" t="s">
        <v>19</v>
      </c>
      <c r="B11" s="19"/>
      <c r="C11" s="19"/>
      <c r="D11" s="19"/>
      <c r="E11" s="19">
        <f>sum(E12:E14)</f>
        <v>450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>
      <c r="A12" s="18">
        <v>46028.0</v>
      </c>
      <c r="B12" s="5" t="s">
        <v>19</v>
      </c>
      <c r="C12" s="5" t="s">
        <v>60</v>
      </c>
      <c r="D12" s="5"/>
      <c r="E12" s="5">
        <v>150.0</v>
      </c>
    </row>
    <row r="13">
      <c r="A13" s="18">
        <v>46042.0</v>
      </c>
      <c r="B13" s="5" t="s">
        <v>19</v>
      </c>
      <c r="C13" s="5" t="s">
        <v>61</v>
      </c>
      <c r="D13" s="5"/>
      <c r="E13" s="5">
        <v>150.0</v>
      </c>
    </row>
    <row r="14">
      <c r="A14" s="18">
        <v>46035.0</v>
      </c>
      <c r="B14" s="5" t="s">
        <v>62</v>
      </c>
      <c r="C14" s="5" t="s">
        <v>60</v>
      </c>
      <c r="D14" s="5"/>
      <c r="E14" s="5">
        <v>150.0</v>
      </c>
    </row>
    <row r="15">
      <c r="A15" s="19" t="s">
        <v>63</v>
      </c>
      <c r="B15" s="19"/>
      <c r="C15" s="19"/>
      <c r="D15" s="19"/>
      <c r="E15" s="19">
        <f>sum(E16:E17)</f>
        <v>1.98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>
      <c r="A16" s="18">
        <v>46027.0</v>
      </c>
      <c r="B16" s="5" t="s">
        <v>63</v>
      </c>
      <c r="C16" s="5" t="s">
        <v>64</v>
      </c>
      <c r="D16" s="5"/>
      <c r="E16" s="5">
        <v>0.99</v>
      </c>
    </row>
    <row r="17">
      <c r="A17" s="18">
        <v>46027.0</v>
      </c>
      <c r="B17" s="5" t="s">
        <v>63</v>
      </c>
      <c r="C17" s="5" t="s">
        <v>64</v>
      </c>
      <c r="D17" s="5"/>
      <c r="E17" s="5">
        <v>0.99</v>
      </c>
    </row>
    <row r="18">
      <c r="A18" s="19" t="s">
        <v>21</v>
      </c>
      <c r="B18" s="19"/>
      <c r="C18" s="19"/>
      <c r="D18" s="19"/>
      <c r="E18" s="19">
        <f>sum(E19:E34)</f>
        <v>174.1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>
      <c r="A19" s="18">
        <v>46024.0</v>
      </c>
      <c r="B19" s="5" t="s">
        <v>21</v>
      </c>
      <c r="C19" s="5" t="s">
        <v>66</v>
      </c>
      <c r="D19" s="5"/>
      <c r="E19" s="5">
        <v>3.42</v>
      </c>
    </row>
    <row r="20">
      <c r="A20" s="18">
        <v>46024.0</v>
      </c>
      <c r="B20" s="5" t="s">
        <v>21</v>
      </c>
      <c r="C20" s="5" t="s">
        <v>67</v>
      </c>
      <c r="D20" s="5"/>
      <c r="E20" s="5">
        <v>22.05</v>
      </c>
    </row>
    <row r="21">
      <c r="A21" s="18">
        <v>46027.0</v>
      </c>
      <c r="B21" s="5" t="s">
        <v>21</v>
      </c>
      <c r="C21" s="5" t="s">
        <v>68</v>
      </c>
      <c r="D21" s="5"/>
      <c r="E21" s="7">
        <v>11.25</v>
      </c>
    </row>
    <row r="22">
      <c r="A22" s="18">
        <v>46028.0</v>
      </c>
      <c r="B22" s="5" t="s">
        <v>21</v>
      </c>
      <c r="C22" s="5" t="s">
        <v>66</v>
      </c>
      <c r="D22" s="5"/>
      <c r="E22" s="5">
        <v>5.69</v>
      </c>
    </row>
    <row r="23">
      <c r="A23" s="18">
        <v>46028.0</v>
      </c>
      <c r="B23" s="5" t="s">
        <v>21</v>
      </c>
      <c r="C23" s="5" t="s">
        <v>68</v>
      </c>
      <c r="D23" s="5"/>
      <c r="E23" s="7">
        <v>7.71</v>
      </c>
    </row>
    <row r="24">
      <c r="A24" s="21">
        <v>46030.0</v>
      </c>
      <c r="B24" s="5" t="s">
        <v>21</v>
      </c>
      <c r="C24" s="5" t="s">
        <v>66</v>
      </c>
      <c r="D24" s="5"/>
      <c r="E24" s="5">
        <v>9.11</v>
      </c>
    </row>
    <row r="25">
      <c r="A25" s="21">
        <v>46030.0</v>
      </c>
      <c r="B25" s="5" t="s">
        <v>69</v>
      </c>
      <c r="C25" s="5" t="s">
        <v>70</v>
      </c>
      <c r="D25" s="5"/>
      <c r="E25" s="7">
        <v>4.79</v>
      </c>
    </row>
    <row r="26">
      <c r="A26" s="21">
        <v>46030.0</v>
      </c>
      <c r="B26" s="5" t="s">
        <v>21</v>
      </c>
      <c r="C26" s="5" t="s">
        <v>68</v>
      </c>
      <c r="D26" s="5"/>
      <c r="E26" s="7">
        <v>8.73</v>
      </c>
    </row>
    <row r="27">
      <c r="A27" s="18">
        <v>46034.0</v>
      </c>
      <c r="B27" s="5" t="s">
        <v>21</v>
      </c>
      <c r="C27" s="5" t="s">
        <v>71</v>
      </c>
      <c r="D27" s="5"/>
      <c r="E27" s="7">
        <v>8.25</v>
      </c>
    </row>
    <row r="28">
      <c r="A28" s="18">
        <v>46034.0</v>
      </c>
      <c r="B28" s="5" t="s">
        <v>21</v>
      </c>
      <c r="C28" s="5" t="s">
        <v>72</v>
      </c>
      <c r="D28" s="5"/>
      <c r="E28" s="5">
        <v>3.32</v>
      </c>
    </row>
    <row r="29">
      <c r="A29" s="18">
        <v>46034.0</v>
      </c>
      <c r="B29" s="5" t="s">
        <v>69</v>
      </c>
      <c r="C29" s="5" t="s">
        <v>73</v>
      </c>
      <c r="D29" s="5"/>
      <c r="E29" s="5">
        <v>24.06</v>
      </c>
    </row>
    <row r="30">
      <c r="A30" s="18">
        <v>46034.0</v>
      </c>
      <c r="B30" s="5" t="s">
        <v>21</v>
      </c>
      <c r="C30" s="5" t="s">
        <v>68</v>
      </c>
      <c r="D30" s="5"/>
      <c r="E30" s="5">
        <v>11.25</v>
      </c>
    </row>
    <row r="31">
      <c r="A31" s="18">
        <v>46034.0</v>
      </c>
      <c r="B31" s="5" t="s">
        <v>21</v>
      </c>
      <c r="C31" s="5" t="s">
        <v>74</v>
      </c>
      <c r="D31" s="5"/>
      <c r="E31" s="5">
        <v>30.07</v>
      </c>
    </row>
    <row r="32">
      <c r="A32" s="18">
        <v>46035.0</v>
      </c>
      <c r="B32" s="5" t="s">
        <v>21</v>
      </c>
      <c r="C32" s="5" t="s">
        <v>75</v>
      </c>
      <c r="D32" s="5"/>
      <c r="E32" s="5">
        <v>4.79</v>
      </c>
    </row>
    <row r="33">
      <c r="A33" s="18">
        <v>46036.0</v>
      </c>
      <c r="B33" s="5" t="s">
        <v>21</v>
      </c>
      <c r="C33" s="5" t="s">
        <v>66</v>
      </c>
      <c r="D33" s="5"/>
      <c r="E33" s="5">
        <v>5.69</v>
      </c>
    </row>
    <row r="34">
      <c r="A34" s="18">
        <v>46036.0</v>
      </c>
      <c r="B34" s="5" t="s">
        <v>21</v>
      </c>
      <c r="C34" s="5" t="s">
        <v>74</v>
      </c>
      <c r="D34" s="5"/>
      <c r="E34" s="5">
        <v>13.92</v>
      </c>
    </row>
    <row r="35">
      <c r="A35" s="19" t="s">
        <v>22</v>
      </c>
      <c r="B35" s="19"/>
      <c r="C35" s="19"/>
      <c r="D35" s="19"/>
      <c r="E35" s="22">
        <f>sum(E36:E37)</f>
        <v>98.37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>
      <c r="A36" s="18">
        <v>46027.0</v>
      </c>
      <c r="B36" s="5" t="s">
        <v>22</v>
      </c>
      <c r="C36" s="5" t="s">
        <v>78</v>
      </c>
      <c r="D36" s="5"/>
      <c r="E36" s="7">
        <v>53.48</v>
      </c>
    </row>
    <row r="37">
      <c r="A37" s="21">
        <v>46030.0</v>
      </c>
      <c r="B37" s="5" t="s">
        <v>22</v>
      </c>
      <c r="C37" s="5" t="s">
        <v>78</v>
      </c>
      <c r="D37" s="5"/>
      <c r="E37" s="7">
        <v>44.89</v>
      </c>
    </row>
    <row r="38">
      <c r="A38" s="19" t="s">
        <v>81</v>
      </c>
      <c r="B38" s="19"/>
      <c r="C38" s="19"/>
      <c r="D38" s="19"/>
      <c r="E38" s="19">
        <f>E39</f>
        <v>63.35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18">
        <v>46034.0</v>
      </c>
      <c r="B39" s="5" t="s">
        <v>81</v>
      </c>
      <c r="C39" s="5" t="s">
        <v>82</v>
      </c>
      <c r="D39" s="5"/>
      <c r="E39" s="5">
        <v>63.35</v>
      </c>
    </row>
    <row r="40">
      <c r="A40" s="19" t="s">
        <v>26</v>
      </c>
      <c r="B40" s="19"/>
      <c r="C40" s="19"/>
      <c r="D40" s="19"/>
      <c r="E40" s="19">
        <f>E41</f>
        <v>49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18">
        <v>46029.0</v>
      </c>
      <c r="B41" s="5" t="s">
        <v>26</v>
      </c>
      <c r="C41" s="5" t="s">
        <v>83</v>
      </c>
      <c r="D41" s="5"/>
      <c r="E41" s="5">
        <v>49.0</v>
      </c>
    </row>
    <row r="42">
      <c r="A42" s="19" t="s">
        <v>84</v>
      </c>
      <c r="B42" s="19"/>
      <c r="C42" s="19"/>
      <c r="D42" s="19"/>
      <c r="E42" s="19">
        <f>sum(E43:E44)</f>
        <v>290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18">
        <v>46045.0</v>
      </c>
      <c r="B43" s="5" t="s">
        <v>84</v>
      </c>
      <c r="C43" s="5" t="s">
        <v>85</v>
      </c>
      <c r="D43" s="5"/>
      <c r="E43" s="5">
        <v>290.0</v>
      </c>
    </row>
    <row r="44">
      <c r="A44" s="18">
        <v>46076.0</v>
      </c>
      <c r="B44" s="5" t="s">
        <v>84</v>
      </c>
      <c r="C44" s="5" t="s">
        <v>85</v>
      </c>
      <c r="D44" s="5"/>
      <c r="E44" s="5"/>
    </row>
    <row r="45">
      <c r="A45" s="19" t="s">
        <v>113</v>
      </c>
      <c r="B45" s="19"/>
      <c r="C45" s="19"/>
      <c r="D45" s="19"/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>
      <c r="A46" s="18"/>
      <c r="B46" s="5"/>
      <c r="C46" s="5"/>
      <c r="D46" s="5"/>
      <c r="E46" s="5"/>
    </row>
    <row r="47">
      <c r="A47" s="19" t="s">
        <v>15</v>
      </c>
      <c r="B47" s="19"/>
      <c r="C47" s="19"/>
      <c r="D47" s="19"/>
      <c r="E47" s="19">
        <f>sum(E48:E49)</f>
        <v>912.59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>
      <c r="A48" s="18">
        <v>46041.0</v>
      </c>
      <c r="B48" s="5" t="s">
        <v>15</v>
      </c>
      <c r="C48" s="5" t="s">
        <v>90</v>
      </c>
      <c r="D48" s="5"/>
      <c r="E48" s="5">
        <v>801.66</v>
      </c>
    </row>
    <row r="49">
      <c r="A49" s="18">
        <v>46041.0</v>
      </c>
      <c r="B49" s="5" t="s">
        <v>15</v>
      </c>
      <c r="C49" s="5" t="s">
        <v>90</v>
      </c>
      <c r="D49" s="5"/>
      <c r="E49" s="5">
        <v>110.93</v>
      </c>
    </row>
    <row r="50">
      <c r="A50" s="19" t="s">
        <v>91</v>
      </c>
      <c r="B50" s="19"/>
      <c r="C50" s="19"/>
      <c r="D50" s="19"/>
      <c r="E50" s="19">
        <f>E51</f>
        <v>149.97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>
      <c r="A51" s="18">
        <v>46034.0</v>
      </c>
      <c r="B51" s="5" t="s">
        <v>91</v>
      </c>
      <c r="C51" s="5" t="s">
        <v>92</v>
      </c>
      <c r="D51" s="5"/>
      <c r="E51" s="5">
        <v>149.97</v>
      </c>
    </row>
    <row r="52">
      <c r="A52" s="19" t="s">
        <v>28</v>
      </c>
      <c r="B52" s="19"/>
      <c r="C52" s="19"/>
      <c r="D52" s="19"/>
      <c r="E52" s="19">
        <f>sum(E53:E54)</f>
        <v>1300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>
      <c r="A53" s="21">
        <v>46023.0</v>
      </c>
      <c r="B53" s="5" t="s">
        <v>28</v>
      </c>
      <c r="C53" s="5" t="s">
        <v>93</v>
      </c>
      <c r="D53" s="5"/>
      <c r="E53" s="5">
        <v>1300.0</v>
      </c>
    </row>
    <row r="54">
      <c r="A54" s="21">
        <v>46054.0</v>
      </c>
      <c r="B54" s="5" t="s">
        <v>28</v>
      </c>
      <c r="C54" s="5" t="s">
        <v>93</v>
      </c>
      <c r="D54" s="5"/>
      <c r="E54" s="5"/>
    </row>
    <row r="55">
      <c r="A55" s="19" t="s">
        <v>29</v>
      </c>
      <c r="B55" s="19"/>
      <c r="C55" s="19"/>
      <c r="D55" s="19"/>
      <c r="E55" s="19">
        <f>sum(E56:E57)</f>
        <v>92.16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>
      <c r="A56" s="18">
        <v>46034.0</v>
      </c>
      <c r="B56" s="5" t="s">
        <v>29</v>
      </c>
      <c r="C56" s="5" t="s">
        <v>94</v>
      </c>
      <c r="D56" s="5"/>
      <c r="E56" s="5">
        <v>50.0</v>
      </c>
    </row>
    <row r="57">
      <c r="A57" s="18">
        <v>46034.0</v>
      </c>
      <c r="B57" s="5" t="s">
        <v>29</v>
      </c>
      <c r="C57" s="5" t="s">
        <v>94</v>
      </c>
      <c r="D57" s="5"/>
      <c r="E57" s="5">
        <v>42.16</v>
      </c>
    </row>
    <row r="58">
      <c r="A58" s="19" t="s">
        <v>30</v>
      </c>
      <c r="B58" s="19"/>
      <c r="C58" s="19"/>
      <c r="D58" s="19"/>
      <c r="E58" s="19">
        <f>E59</f>
        <v>96.76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18">
        <v>46034.0</v>
      </c>
      <c r="B59" s="5" t="s">
        <v>30</v>
      </c>
      <c r="C59" s="5" t="s">
        <v>95</v>
      </c>
      <c r="D59" s="5"/>
      <c r="E59" s="5">
        <v>96.76</v>
      </c>
    </row>
    <row r="60">
      <c r="A60" s="19" t="s">
        <v>31</v>
      </c>
      <c r="B60" s="19"/>
      <c r="C60" s="19"/>
      <c r="D60" s="19"/>
      <c r="E60" s="19">
        <f>E61</f>
        <v>180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18">
        <v>46029.0</v>
      </c>
      <c r="B61" s="5" t="s">
        <v>31</v>
      </c>
      <c r="C61" s="5" t="s">
        <v>97</v>
      </c>
      <c r="D61" s="5"/>
      <c r="E61" s="5">
        <v>180.0</v>
      </c>
    </row>
    <row r="62">
      <c r="A62" s="19" t="s">
        <v>98</v>
      </c>
      <c r="B62" s="19"/>
      <c r="C62" s="19"/>
      <c r="D62" s="19"/>
      <c r="E62" s="23">
        <f>E63</f>
        <v>43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18">
        <v>46031.0</v>
      </c>
      <c r="B63" s="5" t="s">
        <v>98</v>
      </c>
      <c r="C63" s="5" t="s">
        <v>99</v>
      </c>
      <c r="D63" s="5"/>
      <c r="E63" s="9">
        <v>43.0</v>
      </c>
    </row>
    <row r="64">
      <c r="A64" s="19" t="s">
        <v>35</v>
      </c>
      <c r="B64" s="19"/>
      <c r="C64" s="19"/>
      <c r="D64" s="19"/>
      <c r="E64" s="19">
        <f>sum(E65:E67)</f>
        <v>29.52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18">
        <v>46027.0</v>
      </c>
      <c r="B65" s="5" t="s">
        <v>35</v>
      </c>
      <c r="C65" s="5" t="s">
        <v>101</v>
      </c>
      <c r="D65" s="5"/>
      <c r="E65" s="5">
        <v>9.88</v>
      </c>
    </row>
    <row r="66">
      <c r="A66" s="18">
        <v>46035.0</v>
      </c>
      <c r="B66" s="5" t="s">
        <v>35</v>
      </c>
      <c r="C66" s="5" t="s">
        <v>102</v>
      </c>
      <c r="D66" s="5"/>
      <c r="E66" s="5">
        <v>5.0</v>
      </c>
    </row>
    <row r="67">
      <c r="A67" s="18">
        <v>46036.0</v>
      </c>
      <c r="B67" s="5" t="s">
        <v>35</v>
      </c>
      <c r="C67" s="5" t="s">
        <v>102</v>
      </c>
      <c r="D67" s="5"/>
      <c r="E67" s="5">
        <v>14.64</v>
      </c>
    </row>
    <row r="68">
      <c r="A68" s="19" t="s">
        <v>105</v>
      </c>
      <c r="B68" s="19"/>
      <c r="C68" s="19"/>
      <c r="D68" s="19"/>
      <c r="E68" s="22">
        <f>sum(E69:E72)</f>
        <v>282.34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21">
        <v>46030.0</v>
      </c>
      <c r="B69" s="5" t="s">
        <v>105</v>
      </c>
      <c r="C69" s="5" t="s">
        <v>106</v>
      </c>
      <c r="D69" s="5"/>
      <c r="E69" s="7">
        <v>13.22</v>
      </c>
    </row>
    <row r="70">
      <c r="A70" s="18">
        <v>46034.0</v>
      </c>
      <c r="B70" s="5" t="s">
        <v>105</v>
      </c>
      <c r="C70" s="5" t="s">
        <v>106</v>
      </c>
      <c r="D70" s="5"/>
      <c r="E70" s="5">
        <v>21.93</v>
      </c>
    </row>
    <row r="71">
      <c r="A71" s="18">
        <v>46034.0</v>
      </c>
      <c r="B71" s="5" t="s">
        <v>107</v>
      </c>
      <c r="C71" s="5" t="s">
        <v>106</v>
      </c>
      <c r="D71" s="5"/>
      <c r="E71" s="5">
        <v>245.0</v>
      </c>
    </row>
    <row r="72">
      <c r="A72" s="18">
        <v>46027.0</v>
      </c>
      <c r="B72" s="5" t="s">
        <v>108</v>
      </c>
      <c r="C72" s="5" t="s">
        <v>106</v>
      </c>
      <c r="D72" s="5"/>
      <c r="E72" s="7">
        <v>2.19</v>
      </c>
    </row>
    <row r="73">
      <c r="A73" s="19" t="s">
        <v>37</v>
      </c>
      <c r="B73" s="19"/>
      <c r="C73" s="19"/>
      <c r="D73" s="19"/>
      <c r="E73" s="19">
        <f>sum(E74:E76)</f>
        <v>60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>
      <c r="A74" s="18">
        <v>46029.0</v>
      </c>
      <c r="B74" s="5" t="s">
        <v>37</v>
      </c>
      <c r="C74" s="5" t="s">
        <v>109</v>
      </c>
      <c r="D74" s="5"/>
      <c r="E74" s="5">
        <v>20.0</v>
      </c>
    </row>
    <row r="75">
      <c r="A75" s="18">
        <v>46029.0</v>
      </c>
      <c r="B75" s="5" t="s">
        <v>37</v>
      </c>
      <c r="C75" s="5" t="s">
        <v>109</v>
      </c>
      <c r="D75" s="5"/>
      <c r="E75" s="5">
        <v>20.0</v>
      </c>
    </row>
    <row r="76">
      <c r="A76" s="18">
        <v>46029.0</v>
      </c>
      <c r="B76" s="5" t="s">
        <v>37</v>
      </c>
      <c r="C76" s="5" t="s">
        <v>109</v>
      </c>
      <c r="D76" s="5"/>
      <c r="E76" s="5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75"/>
  </cols>
  <sheetData>
    <row r="1">
      <c r="A1" s="16" t="s">
        <v>40</v>
      </c>
      <c r="B1" s="16" t="s">
        <v>41</v>
      </c>
      <c r="C1" s="16" t="s">
        <v>42</v>
      </c>
      <c r="D1" s="16" t="s">
        <v>43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9" t="s">
        <v>14</v>
      </c>
      <c r="B2" s="19"/>
      <c r="C2" s="19"/>
      <c r="D2" s="19">
        <f>SUM(D3:D6)</f>
        <v>7333.28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5"/>
      <c r="B3" s="5" t="s">
        <v>114</v>
      </c>
      <c r="C3" s="5" t="s">
        <v>115</v>
      </c>
      <c r="D3" s="5">
        <v>1833.32</v>
      </c>
    </row>
    <row r="4">
      <c r="A4" s="5"/>
      <c r="B4" s="5" t="s">
        <v>114</v>
      </c>
      <c r="C4" s="5" t="s">
        <v>115</v>
      </c>
      <c r="D4" s="5">
        <v>1833.32</v>
      </c>
    </row>
    <row r="5">
      <c r="A5" s="5"/>
      <c r="B5" s="5" t="s">
        <v>114</v>
      </c>
      <c r="C5" s="5" t="s">
        <v>115</v>
      </c>
      <c r="D5" s="5">
        <v>1833.32</v>
      </c>
    </row>
    <row r="6">
      <c r="A6" s="5"/>
      <c r="B6" s="5" t="s">
        <v>114</v>
      </c>
      <c r="C6" s="5" t="s">
        <v>115</v>
      </c>
      <c r="D6" s="5">
        <v>1833.32</v>
      </c>
    </row>
    <row r="7">
      <c r="A7" s="19" t="s">
        <v>47</v>
      </c>
      <c r="B7" s="19"/>
      <c r="C7" s="19"/>
      <c r="D7" s="19" t="str">
        <f>D9</f>
        <v/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5"/>
      <c r="B8" s="5"/>
      <c r="C8" s="5"/>
      <c r="D8" s="5"/>
    </row>
    <row r="9">
      <c r="A9" s="18"/>
      <c r="B9" s="5" t="s">
        <v>48</v>
      </c>
      <c r="C9" s="5" t="s">
        <v>49</v>
      </c>
    </row>
    <row r="10">
      <c r="A10" s="19" t="s">
        <v>16</v>
      </c>
      <c r="B10" s="19"/>
      <c r="C10" s="19"/>
      <c r="D10" s="19">
        <f>SUM(D11:D16)</f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18"/>
      <c r="B11" s="5" t="s">
        <v>16</v>
      </c>
      <c r="C11" s="5" t="s">
        <v>51</v>
      </c>
    </row>
    <row r="12">
      <c r="A12" s="18"/>
      <c r="B12" s="5" t="s">
        <v>16</v>
      </c>
      <c r="C12" s="5" t="s">
        <v>51</v>
      </c>
    </row>
    <row r="13">
      <c r="A13" s="18"/>
      <c r="B13" s="5" t="s">
        <v>16</v>
      </c>
      <c r="C13" s="5" t="s">
        <v>52</v>
      </c>
    </row>
    <row r="14">
      <c r="A14" s="18"/>
      <c r="B14" s="5" t="s">
        <v>16</v>
      </c>
      <c r="C14" s="5" t="s">
        <v>53</v>
      </c>
    </row>
    <row r="15">
      <c r="A15" s="18"/>
      <c r="B15" s="5" t="s">
        <v>16</v>
      </c>
      <c r="C15" s="5" t="s">
        <v>54</v>
      </c>
    </row>
    <row r="16">
      <c r="A16" s="18"/>
      <c r="B16" s="5" t="s">
        <v>16</v>
      </c>
      <c r="C16" s="5" t="s">
        <v>55</v>
      </c>
    </row>
    <row r="17">
      <c r="A17" s="19" t="s">
        <v>19</v>
      </c>
      <c r="B17" s="19"/>
      <c r="C17" s="19"/>
      <c r="D17" s="19">
        <f>sum(D18:D20)</f>
        <v>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18"/>
      <c r="B18" s="5" t="s">
        <v>19</v>
      </c>
      <c r="C18" s="5" t="s">
        <v>60</v>
      </c>
    </row>
    <row r="19">
      <c r="A19" s="18"/>
      <c r="B19" s="5" t="s">
        <v>19</v>
      </c>
      <c r="C19" s="5" t="s">
        <v>61</v>
      </c>
    </row>
    <row r="20">
      <c r="A20" s="18"/>
      <c r="B20" s="5" t="s">
        <v>62</v>
      </c>
      <c r="C20" s="5" t="s">
        <v>60</v>
      </c>
    </row>
    <row r="21">
      <c r="A21" s="19" t="s">
        <v>63</v>
      </c>
      <c r="B21" s="19"/>
      <c r="C21" s="19"/>
      <c r="D21" s="19">
        <f>sum(D22:D23)</f>
        <v>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18"/>
      <c r="B22" s="5" t="s">
        <v>63</v>
      </c>
      <c r="C22" s="5" t="s">
        <v>64</v>
      </c>
    </row>
    <row r="23">
      <c r="A23" s="18"/>
      <c r="B23" s="5" t="s">
        <v>63</v>
      </c>
      <c r="C23" s="5" t="s">
        <v>64</v>
      </c>
    </row>
    <row r="24">
      <c r="A24" s="19" t="s">
        <v>21</v>
      </c>
      <c r="B24" s="19"/>
      <c r="C24" s="19"/>
      <c r="D24" s="19">
        <f>sum(D25:D39)</f>
        <v>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18"/>
      <c r="B25" s="5" t="s">
        <v>21</v>
      </c>
      <c r="C25" s="5" t="s">
        <v>66</v>
      </c>
    </row>
    <row r="26">
      <c r="A26" s="18"/>
      <c r="B26" s="5" t="s">
        <v>21</v>
      </c>
      <c r="C26" s="5" t="s">
        <v>68</v>
      </c>
      <c r="D26" s="7"/>
    </row>
    <row r="27">
      <c r="A27" s="18"/>
      <c r="B27" s="5" t="s">
        <v>21</v>
      </c>
      <c r="C27" s="5" t="s">
        <v>66</v>
      </c>
    </row>
    <row r="28">
      <c r="A28" s="18"/>
      <c r="B28" s="5" t="s">
        <v>21</v>
      </c>
      <c r="C28" s="5" t="s">
        <v>68</v>
      </c>
      <c r="D28" s="7"/>
    </row>
    <row r="29">
      <c r="A29" s="21"/>
      <c r="B29" s="5" t="s">
        <v>21</v>
      </c>
      <c r="C29" s="5" t="s">
        <v>66</v>
      </c>
    </row>
    <row r="30">
      <c r="A30" s="21"/>
      <c r="B30" s="5" t="s">
        <v>69</v>
      </c>
      <c r="C30" s="5" t="s">
        <v>70</v>
      </c>
      <c r="D30" s="7"/>
    </row>
    <row r="31">
      <c r="A31" s="21"/>
      <c r="B31" s="5" t="s">
        <v>21</v>
      </c>
      <c r="C31" s="5" t="s">
        <v>68</v>
      </c>
      <c r="D31" s="7"/>
    </row>
    <row r="32">
      <c r="A32" s="18"/>
      <c r="B32" s="5" t="s">
        <v>21</v>
      </c>
      <c r="C32" s="5" t="s">
        <v>71</v>
      </c>
      <c r="D32" s="7"/>
    </row>
    <row r="33">
      <c r="A33" s="18"/>
      <c r="B33" s="5" t="s">
        <v>21</v>
      </c>
      <c r="C33" s="5" t="s">
        <v>72</v>
      </c>
    </row>
    <row r="34">
      <c r="A34" s="18"/>
      <c r="B34" s="5" t="s">
        <v>69</v>
      </c>
      <c r="C34" s="5" t="s">
        <v>73</v>
      </c>
    </row>
    <row r="35">
      <c r="A35" s="18"/>
      <c r="B35" s="5" t="s">
        <v>21</v>
      </c>
      <c r="C35" s="5" t="s">
        <v>68</v>
      </c>
    </row>
    <row r="36">
      <c r="A36" s="18"/>
      <c r="B36" s="5" t="s">
        <v>21</v>
      </c>
      <c r="C36" s="5" t="s">
        <v>74</v>
      </c>
    </row>
    <row r="37">
      <c r="A37" s="18"/>
      <c r="B37" s="5" t="s">
        <v>21</v>
      </c>
      <c r="C37" s="5" t="s">
        <v>75</v>
      </c>
    </row>
    <row r="38">
      <c r="A38" s="18"/>
      <c r="B38" s="5" t="s">
        <v>21</v>
      </c>
      <c r="C38" s="5" t="s">
        <v>66</v>
      </c>
    </row>
    <row r="39">
      <c r="A39" s="18"/>
      <c r="B39" s="5" t="s">
        <v>21</v>
      </c>
      <c r="C39" s="5" t="s">
        <v>74</v>
      </c>
    </row>
    <row r="40">
      <c r="A40" s="19" t="s">
        <v>22</v>
      </c>
      <c r="B40" s="19"/>
      <c r="C40" s="19"/>
      <c r="D40" s="22">
        <f>sum(D41:D42)</f>
        <v>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18"/>
      <c r="B41" s="5" t="s">
        <v>22</v>
      </c>
      <c r="C41" s="5" t="s">
        <v>78</v>
      </c>
      <c r="D41" s="7"/>
    </row>
    <row r="42">
      <c r="A42" s="21"/>
      <c r="B42" s="5" t="s">
        <v>22</v>
      </c>
      <c r="C42" s="5" t="s">
        <v>78</v>
      </c>
      <c r="D42" s="7"/>
    </row>
    <row r="43">
      <c r="A43" s="19" t="s">
        <v>81</v>
      </c>
      <c r="B43" s="19"/>
      <c r="C43" s="19"/>
      <c r="D43" s="19" t="str">
        <f>D44</f>
        <v/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18"/>
      <c r="B44" s="5" t="s">
        <v>81</v>
      </c>
      <c r="C44" s="5" t="s">
        <v>82</v>
      </c>
    </row>
    <row r="45">
      <c r="A45" s="19" t="s">
        <v>26</v>
      </c>
      <c r="B45" s="19"/>
      <c r="C45" s="19"/>
      <c r="D45" s="19" t="str">
        <f>D46</f>
        <v/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18"/>
      <c r="B46" s="5" t="s">
        <v>26</v>
      </c>
      <c r="C46" s="5" t="s">
        <v>83</v>
      </c>
    </row>
    <row r="47">
      <c r="A47" s="19" t="s">
        <v>84</v>
      </c>
      <c r="B47" s="19"/>
      <c r="C47" s="19"/>
      <c r="D47" s="19">
        <f>sum(D48:D49)</f>
        <v>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18"/>
      <c r="B48" s="5" t="s">
        <v>84</v>
      </c>
      <c r="C48" s="5" t="s">
        <v>85</v>
      </c>
    </row>
    <row r="49">
      <c r="A49" s="18"/>
      <c r="B49" s="5" t="s">
        <v>84</v>
      </c>
      <c r="C49" s="5" t="s">
        <v>85</v>
      </c>
    </row>
    <row r="50">
      <c r="A50" s="19" t="s">
        <v>113</v>
      </c>
      <c r="B50" s="19"/>
      <c r="C50" s="19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18"/>
      <c r="B51" s="5"/>
      <c r="C51" s="5"/>
      <c r="D51" s="5"/>
    </row>
    <row r="52">
      <c r="A52" s="19" t="s">
        <v>15</v>
      </c>
      <c r="B52" s="19"/>
      <c r="C52" s="19"/>
      <c r="D52" s="19">
        <f>sum(D53:D54)</f>
        <v>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18"/>
      <c r="B53" s="5" t="s">
        <v>15</v>
      </c>
      <c r="C53" s="5" t="s">
        <v>90</v>
      </c>
    </row>
    <row r="54">
      <c r="A54" s="18"/>
      <c r="B54" s="5" t="s">
        <v>15</v>
      </c>
      <c r="C54" s="5" t="s">
        <v>90</v>
      </c>
    </row>
    <row r="55">
      <c r="A55" s="19" t="s">
        <v>91</v>
      </c>
      <c r="B55" s="19"/>
      <c r="C55" s="19"/>
      <c r="D55" s="19" t="str">
        <f>D56</f>
        <v/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18"/>
      <c r="B56" s="5" t="s">
        <v>91</v>
      </c>
      <c r="C56" s="5" t="s">
        <v>92</v>
      </c>
    </row>
    <row r="57">
      <c r="A57" s="19" t="s">
        <v>28</v>
      </c>
      <c r="B57" s="19"/>
      <c r="C57" s="19"/>
      <c r="D57" s="19">
        <f>sum(D58:D59)</f>
        <v>0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1"/>
      <c r="B58" s="5" t="s">
        <v>28</v>
      </c>
      <c r="C58" s="5" t="s">
        <v>93</v>
      </c>
    </row>
    <row r="59">
      <c r="A59" s="21"/>
      <c r="B59" s="5" t="s">
        <v>28</v>
      </c>
      <c r="C59" s="5" t="s">
        <v>93</v>
      </c>
      <c r="D59" s="5"/>
    </row>
    <row r="60">
      <c r="A60" s="19" t="s">
        <v>29</v>
      </c>
      <c r="B60" s="19"/>
      <c r="C60" s="19"/>
      <c r="D60" s="19">
        <f>sum(D61:D62)</f>
        <v>0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18"/>
      <c r="B61" s="5" t="s">
        <v>29</v>
      </c>
      <c r="C61" s="5" t="s">
        <v>94</v>
      </c>
    </row>
    <row r="62">
      <c r="A62" s="18"/>
      <c r="B62" s="5" t="s">
        <v>29</v>
      </c>
      <c r="C62" s="5" t="s">
        <v>94</v>
      </c>
    </row>
    <row r="63">
      <c r="A63" s="19" t="s">
        <v>30</v>
      </c>
      <c r="B63" s="19"/>
      <c r="C63" s="19"/>
      <c r="D63" s="19" t="str">
        <f>D64</f>
        <v/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18"/>
      <c r="B64" s="5" t="s">
        <v>30</v>
      </c>
      <c r="C64" s="5" t="s">
        <v>95</v>
      </c>
    </row>
    <row r="65">
      <c r="A65" s="19" t="s">
        <v>31</v>
      </c>
      <c r="B65" s="19"/>
      <c r="C65" s="19"/>
      <c r="D65" s="19" t="str">
        <f>D66</f>
        <v/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18"/>
      <c r="B66" s="5" t="s">
        <v>31</v>
      </c>
      <c r="C66" s="5" t="s">
        <v>97</v>
      </c>
    </row>
    <row r="67">
      <c r="A67" s="19" t="s">
        <v>98</v>
      </c>
      <c r="B67" s="19"/>
      <c r="C67" s="19"/>
      <c r="D67" s="23" t="str">
        <f>D68</f>
        <v/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18"/>
      <c r="B68" s="5" t="s">
        <v>98</v>
      </c>
      <c r="C68" s="5" t="s">
        <v>99</v>
      </c>
      <c r="D68" s="9"/>
    </row>
    <row r="69">
      <c r="A69" s="19" t="s">
        <v>35</v>
      </c>
      <c r="B69" s="19"/>
      <c r="C69" s="19"/>
      <c r="D69" s="19">
        <f>sum(D70:D72)</f>
        <v>0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B70" s="5" t="s">
        <v>35</v>
      </c>
      <c r="C70" s="5" t="s">
        <v>101</v>
      </c>
    </row>
    <row r="71">
      <c r="A71" s="18"/>
      <c r="B71" s="5" t="s">
        <v>35</v>
      </c>
      <c r="C71" s="5" t="s">
        <v>102</v>
      </c>
    </row>
    <row r="72">
      <c r="A72" s="18"/>
      <c r="B72" s="5" t="s">
        <v>35</v>
      </c>
      <c r="C72" s="5" t="s">
        <v>102</v>
      </c>
    </row>
    <row r="73">
      <c r="A73" s="19" t="s">
        <v>105</v>
      </c>
      <c r="B73" s="19"/>
      <c r="C73" s="19"/>
      <c r="D73" s="22">
        <f>sum(D74:D77)</f>
        <v>0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1"/>
      <c r="B74" s="5" t="s">
        <v>105</v>
      </c>
      <c r="C74" s="5" t="s">
        <v>106</v>
      </c>
      <c r="D74" s="7"/>
    </row>
    <row r="75">
      <c r="A75" s="18"/>
      <c r="B75" s="5" t="s">
        <v>105</v>
      </c>
      <c r="C75" s="5" t="s">
        <v>106</v>
      </c>
    </row>
    <row r="76">
      <c r="A76" s="18"/>
      <c r="B76" s="5" t="s">
        <v>107</v>
      </c>
      <c r="C76" s="5" t="s">
        <v>106</v>
      </c>
    </row>
    <row r="77">
      <c r="A77" s="18"/>
      <c r="B77" s="5" t="s">
        <v>108</v>
      </c>
      <c r="C77" s="5" t="s">
        <v>106</v>
      </c>
      <c r="D77" s="7"/>
    </row>
    <row r="78">
      <c r="A78" s="19" t="s">
        <v>37</v>
      </c>
      <c r="B78" s="19"/>
      <c r="C78" s="19"/>
      <c r="D78" s="19">
        <f>sum(D79:D81)</f>
        <v>0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18"/>
      <c r="B79" s="5" t="s">
        <v>37</v>
      </c>
      <c r="C79" s="5" t="s">
        <v>109</v>
      </c>
    </row>
    <row r="80">
      <c r="A80" s="18"/>
      <c r="B80" s="5" t="s">
        <v>37</v>
      </c>
      <c r="C80" s="5" t="s">
        <v>109</v>
      </c>
    </row>
    <row r="81">
      <c r="A81" s="18"/>
      <c r="B81" s="5" t="s">
        <v>37</v>
      </c>
      <c r="C81" s="5" t="s">
        <v>109</v>
      </c>
    </row>
  </sheetData>
  <drawing r:id="rId1"/>
</worksheet>
</file>